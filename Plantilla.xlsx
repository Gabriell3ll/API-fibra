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ick\Downloads\"/>
    </mc:Choice>
  </mc:AlternateContent>
  <xr:revisionPtr revIDLastSave="0" documentId="8_{C8BAB80B-4E0B-4DAB-9EC7-CFDAED11C6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ber design" sheetId="1" r:id="rId1"/>
    <sheet name="List review congestion2025" sheetId="7" state="hidden" r:id="rId2"/>
    <sheet name="Original checklist" sheetId="2" state="hidden" r:id="rId3"/>
    <sheet name="FORMAT INFRA" sheetId="8" r:id="rId4"/>
    <sheet name="Material calculator" sheetId="4" r:id="rId5"/>
    <sheet name="Controls" sheetId="5" r:id="rId6"/>
    <sheet name="COMMENTS" sheetId="6" r:id="rId7"/>
  </sheets>
  <definedNames>
    <definedName name="_xlnm._FilterDatabase" localSheetId="0" hidden="1">'Fiber design'!$A$2:$R$452</definedName>
    <definedName name="_xlnm.Print_Area" localSheetId="0">'Fiber design'!$A$1:$J$277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4" l="1"/>
  <c r="O15" i="4" s="1"/>
  <c r="J15" i="4" s="1"/>
  <c r="S13" i="4"/>
  <c r="R13" i="4"/>
  <c r="Q13" i="4"/>
  <c r="P13" i="4"/>
  <c r="O13" i="4"/>
  <c r="F13" i="4"/>
  <c r="S12" i="4"/>
  <c r="R12" i="4"/>
  <c r="Q12" i="4"/>
  <c r="F12" i="4"/>
  <c r="S11" i="4"/>
  <c r="R11" i="4"/>
  <c r="Q11" i="4"/>
  <c r="F11" i="4"/>
  <c r="Q10" i="4"/>
  <c r="P10" i="4"/>
  <c r="O10" i="4"/>
  <c r="F10" i="4"/>
  <c r="P9" i="4"/>
  <c r="O9" i="4"/>
  <c r="F9" i="4"/>
  <c r="S8" i="4"/>
  <c r="R8" i="4"/>
  <c r="Q8" i="4"/>
  <c r="S6" i="4"/>
  <c r="R6" i="4"/>
  <c r="Q6" i="4"/>
  <c r="F6" i="4"/>
  <c r="S5" i="4"/>
  <c r="R5" i="4"/>
  <c r="Q5" i="4"/>
  <c r="P5" i="4"/>
  <c r="O5" i="4"/>
  <c r="N4" i="4"/>
  <c r="L4" i="4"/>
  <c r="J2" i="4"/>
  <c r="O4" i="8"/>
  <c r="V18" i="2"/>
  <c r="V19" i="2" s="1"/>
  <c r="F17" i="2"/>
  <c r="F16" i="2"/>
  <c r="F15" i="2"/>
  <c r="K12" i="2"/>
  <c r="I12" i="2"/>
  <c r="F12" i="2"/>
  <c r="Z11" i="2"/>
  <c r="S7" i="4" s="1"/>
  <c r="Y11" i="2"/>
  <c r="R7" i="4" s="1"/>
  <c r="X11" i="2"/>
  <c r="Q7" i="4" s="1"/>
  <c r="W11" i="2"/>
  <c r="P7" i="4" s="1"/>
  <c r="V11" i="2"/>
  <c r="O7" i="4" s="1"/>
  <c r="L11" i="2"/>
  <c r="F7" i="4" s="1"/>
  <c r="K11" i="2"/>
  <c r="J11" i="2"/>
  <c r="J12" i="2" s="1"/>
  <c r="I11" i="2"/>
  <c r="W10" i="2"/>
  <c r="P6" i="4" s="1"/>
  <c r="V10" i="2"/>
  <c r="O6" i="4" s="1"/>
  <c r="U5" i="2"/>
  <c r="U6" i="2" s="1"/>
  <c r="U9" i="2" s="1"/>
  <c r="T5" i="2"/>
  <c r="T6" i="2" s="1"/>
  <c r="T9" i="2" s="1"/>
  <c r="S5" i="2"/>
  <c r="S6" i="2" s="1"/>
  <c r="S9" i="2" s="1"/>
  <c r="R5" i="2"/>
  <c r="R6" i="2" s="1"/>
  <c r="R9" i="2" s="1"/>
  <c r="Q5" i="2"/>
  <c r="Q6" i="2" s="1"/>
  <c r="Q9" i="2" s="1"/>
  <c r="U4" i="2"/>
  <c r="T4" i="2"/>
  <c r="S4" i="2"/>
  <c r="R4" i="2"/>
  <c r="Q4" i="2"/>
  <c r="C4" i="2"/>
  <c r="J16" i="4" s="1"/>
  <c r="O16" i="4" s="1"/>
  <c r="AJ3" i="7"/>
  <c r="X4" i="8" s="1"/>
  <c r="X18" i="1"/>
  <c r="W18" i="1"/>
  <c r="V18" i="1"/>
  <c r="U18" i="1"/>
  <c r="T18" i="1"/>
  <c r="S18" i="1"/>
  <c r="R18" i="1"/>
  <c r="Q18" i="1"/>
  <c r="AB3" i="7" s="1"/>
  <c r="M4" i="8" s="1"/>
  <c r="P18" i="1"/>
  <c r="S3" i="7" s="1"/>
  <c r="F4" i="8" s="1"/>
  <c r="X17" i="1"/>
  <c r="W17" i="1"/>
  <c r="V17" i="1"/>
  <c r="U17" i="1"/>
  <c r="T17" i="1"/>
  <c r="S17" i="1"/>
  <c r="R17" i="1"/>
  <c r="Q17" i="1"/>
  <c r="AA3" i="7" s="1"/>
  <c r="L4" i="8" s="1"/>
  <c r="P17" i="1"/>
  <c r="N3" i="7" s="1"/>
  <c r="X16" i="1"/>
  <c r="W16" i="1"/>
  <c r="V16" i="1"/>
  <c r="U16" i="1"/>
  <c r="T16" i="1"/>
  <c r="S16" i="1"/>
  <c r="R16" i="1"/>
  <c r="Q16" i="1"/>
  <c r="Z3" i="7" s="1"/>
  <c r="K4" i="8" s="1"/>
  <c r="P16" i="1"/>
  <c r="V3" i="7" s="1"/>
  <c r="X15" i="1"/>
  <c r="W15" i="1"/>
  <c r="V15" i="1"/>
  <c r="U15" i="1"/>
  <c r="T15" i="1"/>
  <c r="S15" i="1"/>
  <c r="R15" i="1"/>
  <c r="AD3" i="7" s="1"/>
  <c r="H4" i="8" s="1"/>
  <c r="Q15" i="1"/>
  <c r="Y3" i="7" s="1"/>
  <c r="J4" i="8" s="1"/>
  <c r="P15" i="1"/>
  <c r="U3" i="7" s="1"/>
  <c r="C4" i="8" s="1"/>
  <c r="X14" i="1"/>
  <c r="W14" i="1"/>
  <c r="V14" i="1"/>
  <c r="U14" i="1"/>
  <c r="T14" i="1"/>
  <c r="S14" i="1"/>
  <c r="R14" i="1"/>
  <c r="AC3" i="7" s="1"/>
  <c r="Q14" i="1"/>
  <c r="I4" i="8" s="1"/>
  <c r="P14" i="1"/>
  <c r="T3" i="7" s="1"/>
  <c r="B4" i="8" s="1"/>
  <c r="N15" i="1"/>
  <c r="N17" i="1"/>
  <c r="O16" i="1"/>
  <c r="O15" i="1"/>
  <c r="N18" i="1"/>
  <c r="O14" i="1"/>
  <c r="O17" i="1"/>
  <c r="N16" i="1"/>
  <c r="O18" i="1"/>
  <c r="N14" i="1"/>
  <c r="L12" i="2" l="1"/>
  <c r="AK3" i="7"/>
  <c r="R4" i="8" s="1"/>
  <c r="O11" i="4"/>
  <c r="P11" i="4"/>
  <c r="X19" i="1"/>
  <c r="W19" i="1"/>
  <c r="Y18" i="1"/>
  <c r="V19" i="1"/>
  <c r="T19" i="1"/>
  <c r="S19" i="1"/>
  <c r="Y15" i="1"/>
  <c r="U19" i="1"/>
  <c r="Y16" i="1"/>
  <c r="Y17" i="1"/>
  <c r="Z9" i="2"/>
  <c r="U16" i="2"/>
  <c r="N12" i="4" s="1"/>
  <c r="U13" i="2"/>
  <c r="N9" i="4" s="1"/>
  <c r="U14" i="2"/>
  <c r="N10" i="4" s="1"/>
  <c r="U11" i="2"/>
  <c r="N7" i="4" s="1"/>
  <c r="U10" i="2"/>
  <c r="N6" i="4" s="1"/>
  <c r="N5" i="4"/>
  <c r="U17" i="2"/>
  <c r="N13" i="4" s="1"/>
  <c r="U15" i="2"/>
  <c r="N11" i="4" s="1"/>
  <c r="U12" i="2"/>
  <c r="N8" i="4" s="1"/>
  <c r="Y9" i="2"/>
  <c r="M5" i="4"/>
  <c r="J5" i="4"/>
  <c r="V9" i="2"/>
  <c r="R17" i="2"/>
  <c r="K13" i="4" s="1"/>
  <c r="R15" i="2"/>
  <c r="K11" i="4" s="1"/>
  <c r="K5" i="4"/>
  <c r="W9" i="2"/>
  <c r="R16" i="2"/>
  <c r="K12" i="4" s="1"/>
  <c r="R13" i="2"/>
  <c r="K9" i="4" s="1"/>
  <c r="R14" i="2"/>
  <c r="K10" i="4" s="1"/>
  <c r="R11" i="2"/>
  <c r="K7" i="4" s="1"/>
  <c r="R10" i="2"/>
  <c r="K6" i="4" s="1"/>
  <c r="L5" i="4"/>
  <c r="S12" i="2"/>
  <c r="L8" i="4" s="1"/>
  <c r="X9" i="2"/>
  <c r="S16" i="2"/>
  <c r="L12" i="4" s="1"/>
  <c r="S13" i="2"/>
  <c r="L9" i="4" s="1"/>
  <c r="S14" i="2"/>
  <c r="L10" i="4" s="1"/>
  <c r="S11" i="2"/>
  <c r="L7" i="4" s="1"/>
  <c r="S10" i="2"/>
  <c r="L6" i="4" s="1"/>
  <c r="S17" i="2"/>
  <c r="L13" i="4" s="1"/>
  <c r="S15" i="2"/>
  <c r="L11" i="4" s="1"/>
  <c r="AF3" i="7"/>
  <c r="Z13" i="2"/>
  <c r="Y14" i="1"/>
  <c r="P19" i="1"/>
  <c r="AH3" i="7"/>
  <c r="V12" i="2"/>
  <c r="O8" i="4" s="1"/>
  <c r="Q19" i="1"/>
  <c r="T7" i="2"/>
  <c r="T15" i="2" s="1"/>
  <c r="M11" i="4" s="1"/>
  <c r="W12" i="2"/>
  <c r="P8" i="4" s="1"/>
  <c r="Q18" i="2"/>
  <c r="Q19" i="2" s="1"/>
  <c r="R19" i="1"/>
  <c r="F3" i="7"/>
  <c r="J14" i="4"/>
  <c r="G3" i="7"/>
  <c r="X13" i="2"/>
  <c r="Q9" i="4" s="1"/>
  <c r="Y13" i="2"/>
  <c r="Q20" i="2"/>
  <c r="V20" i="2" s="1"/>
  <c r="V15" i="2"/>
  <c r="W15" i="2"/>
  <c r="Q7" i="2"/>
  <c r="F8" i="4" l="1"/>
  <c r="R12" i="2"/>
  <c r="K8" i="4" s="1"/>
  <c r="Y19" i="1"/>
  <c r="T11" i="2"/>
  <c r="M7" i="4" s="1"/>
  <c r="T10" i="2"/>
  <c r="M6" i="4" s="1"/>
  <c r="T13" i="2"/>
  <c r="M9" i="4" s="1"/>
  <c r="H11" i="4"/>
  <c r="T14" i="2"/>
  <c r="M10" i="4" s="1"/>
  <c r="T12" i="2"/>
  <c r="M8" i="4" s="1"/>
  <c r="H8" i="4"/>
  <c r="T17" i="2"/>
  <c r="M13" i="4" s="1"/>
  <c r="H9" i="4"/>
  <c r="H4" i="4"/>
  <c r="M4" i="4" s="1"/>
  <c r="T16" i="2"/>
  <c r="M12" i="4" s="1"/>
  <c r="H12" i="4"/>
  <c r="H6" i="4"/>
  <c r="H7" i="4"/>
  <c r="H13" i="4"/>
  <c r="AL3" i="7"/>
  <c r="U4" i="8" s="1"/>
  <c r="W4" i="8"/>
  <c r="Z14" i="2"/>
  <c r="S10" i="4" s="1"/>
  <c r="S9" i="4"/>
  <c r="N4" i="8"/>
  <c r="Q4" i="8" s="1"/>
  <c r="AI3" i="7"/>
  <c r="P4" i="8" s="1"/>
  <c r="Y14" i="2"/>
  <c r="R10" i="4" s="1"/>
  <c r="R9" i="4"/>
  <c r="H10" i="4"/>
  <c r="E13" i="4"/>
  <c r="E11" i="4"/>
  <c r="Q12" i="2"/>
  <c r="J8" i="4" s="1"/>
  <c r="E8" i="4"/>
  <c r="Q11" i="2"/>
  <c r="J7" i="4" s="1"/>
  <c r="E6" i="4"/>
  <c r="Q16" i="2"/>
  <c r="J12" i="4" s="1"/>
  <c r="Q15" i="2"/>
  <c r="J11" i="4" s="1"/>
  <c r="Q14" i="2"/>
  <c r="J10" i="4" s="1"/>
  <c r="Q13" i="2"/>
  <c r="J9" i="4" s="1"/>
  <c r="E9" i="4"/>
  <c r="F4" i="4"/>
  <c r="K4" i="4" s="1"/>
  <c r="Q10" i="2"/>
  <c r="J6" i="4" s="1"/>
  <c r="E12" i="4"/>
  <c r="E4" i="4"/>
  <c r="J4" i="4" s="1"/>
  <c r="Q17" i="2"/>
  <c r="J13" i="4" s="1"/>
  <c r="E7" i="4"/>
  <c r="E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tc={DC47FBA1-0CA5-41E5-862F-439336E77C91}</author>
    <author>tc={E33ADB7C-C2FA-4653-B317-C6D1CFDA3206}</author>
    <author>tc={473D71B1-CE58-4551-8978-5944629C2FAB}</author>
  </authors>
  <commentList>
    <comment ref="C9" authorId="0" shapeId="0" xr:uid="{00000000-0006-0000-05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Max 15° sobre los 180° debido a que suspension no usa preformado de protección</t>
      </text>
    </comment>
    <comment ref="C10" authorId="1" shapeId="0" xr:uid="{00000000-0006-0000-05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Based on technical datasheets.</t>
      </text>
    </comment>
    <comment ref="C11" authorId="2" shapeId="0" xr:uid="{00000000-0006-0000-05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Based on technical datasheets.</t>
      </text>
    </comment>
  </commentList>
</comments>
</file>

<file path=xl/sharedStrings.xml><?xml version="1.0" encoding="utf-8"?>
<sst xmlns="http://schemas.openxmlformats.org/spreadsheetml/2006/main" count="317" uniqueCount="185">
  <si>
    <t>POSTE N°</t>
  </si>
  <si>
    <t>LAT</t>
  </si>
  <si>
    <t>LONG</t>
  </si>
  <si>
    <t>ANGULO</t>
  </si>
  <si>
    <t>DISTANCE</t>
  </si>
  <si>
    <t>ACCESSORY</t>
  </si>
  <si>
    <t>TIPE OF FIBER</t>
  </si>
  <si>
    <t>Mx</t>
  </si>
  <si>
    <t>REASON TENSION</t>
  </si>
  <si>
    <t>COMMENT</t>
  </si>
  <si>
    <t>KV200</t>
  </si>
  <si>
    <t>FAST REVIEW OF DESIGN</t>
  </si>
  <si>
    <t>KV</t>
  </si>
  <si>
    <t>D MAX</t>
  </si>
  <si>
    <t>D MIN</t>
  </si>
  <si>
    <t>Qty Fiber</t>
  </si>
  <si>
    <t>Tension</t>
  </si>
  <si>
    <t>Suspension</t>
  </si>
  <si>
    <t>KV100</t>
  </si>
  <si>
    <t>KV300</t>
  </si>
  <si>
    <t>KV500</t>
  </si>
  <si>
    <t>KV1000</t>
  </si>
  <si>
    <t>TOTAL</t>
  </si>
  <si>
    <t>PASOS:</t>
  </si>
  <si>
    <t>1. Revise visualmente el KMZ antes de poner las coordenadas. (Deben estar en orden)</t>
  </si>
  <si>
    <t>2. Ponga las coordenadas B-C.</t>
  </si>
  <si>
    <t>3. Ponga el nombre del poste en A (De no tener llenar P)</t>
  </si>
  <si>
    <t>4. Ejecute la Macro con el boton: "Generate Fiber design"</t>
  </si>
  <si>
    <t>5. Revise visualmente el KMZ, y agregue Tensiones en zonas necesarias.</t>
  </si>
  <si>
    <t>Ejm: Cruces avenida, cruce rio, etc.</t>
  </si>
  <si>
    <t>6. Revise la tabla verde para tener una vista previa del calculo.</t>
  </si>
  <si>
    <t>7. Llene el titulo con el nombre de la ruta.</t>
  </si>
  <si>
    <t>A-B</t>
  </si>
  <si>
    <t>A-Mx (en caso de ser Mufa debe decir Mx)</t>
  </si>
  <si>
    <t>8.El calculo final de material se encuentra en "Material Calculator"</t>
  </si>
  <si>
    <t>9. Para modificar calculos, use la hoja "Control" de la C3:C9</t>
  </si>
  <si>
    <t>10. Cualquier BUG informelo a: 935374683-Alvaro M.</t>
  </si>
  <si>
    <t>*Siempre envie el documento en PDF al equipo técnico, de esta forma sabran donde poner Tension/Suspension</t>
  </si>
  <si>
    <t>TEMPLATE CALCULATION</t>
  </si>
  <si>
    <t>POLES</t>
  </si>
  <si>
    <t>DIST</t>
  </si>
  <si>
    <t>DIST+10%</t>
  </si>
  <si>
    <t>CASE</t>
  </si>
  <si>
    <t>Distance between poles</t>
  </si>
  <si>
    <t>KV100
30m</t>
  </si>
  <si>
    <t>KV100
60m</t>
  </si>
  <si>
    <t>KV100
80m</t>
  </si>
  <si>
    <t>KV100
100m</t>
  </si>
  <si>
    <t>KV200
120m</t>
  </si>
  <si>
    <t>KV200
160m</t>
  </si>
  <si>
    <t>KV200
180m</t>
  </si>
  <si>
    <t>KV200
200m</t>
  </si>
  <si>
    <t>KV300
300m</t>
  </si>
  <si>
    <t>KV500
400m</t>
  </si>
  <si>
    <t>KV500
500m</t>
  </si>
  <si>
    <t>KV1000
500m</t>
  </si>
  <si>
    <t>Distance fiber</t>
  </si>
  <si>
    <t>Roll 3Km</t>
  </si>
  <si>
    <t>kit</t>
  </si>
  <si>
    <t>Tension (2 directions)</t>
  </si>
  <si>
    <t>D12 / Clevis / OPGW</t>
  </si>
  <si>
    <t>each</t>
  </si>
  <si>
    <t>Abrazadera</t>
  </si>
  <si>
    <t>Vibration damper</t>
  </si>
  <si>
    <t>Band-it</t>
  </si>
  <si>
    <t>m</t>
  </si>
  <si>
    <t>Belt</t>
  </si>
  <si>
    <t>Pigtail hook bolt</t>
  </si>
  <si>
    <t>Optical closure</t>
  </si>
  <si>
    <t>[Distance of cable] / [3Km]</t>
  </si>
  <si>
    <t>Cruzeta</t>
  </si>
  <si>
    <t>Same as Optical closure</t>
  </si>
  <si>
    <t>ODF</t>
  </si>
  <si>
    <t>BTS-BTS = 2
BTS-Mx = 1</t>
  </si>
  <si>
    <t>Patchcord FC/LC</t>
  </si>
  <si>
    <t>BASED ON SURVEY</t>
  </si>
  <si>
    <t>CONTROL VALUES</t>
  </si>
  <si>
    <t>Default values</t>
  </si>
  <si>
    <t>Max distance for KV100 (m)</t>
  </si>
  <si>
    <t>Ajustar la condición de distancia mínima por KV: 1500</t>
  </si>
  <si>
    <t>Max distance for KV200 (m)</t>
  </si>
  <si>
    <t>Max distance for KV300 (m)</t>
  </si>
  <si>
    <t>Max distance for KV500 (m)</t>
  </si>
  <si>
    <t>Max distance for KV1000 (m)</t>
  </si>
  <si>
    <t>Max Angle for Suspension (°)</t>
  </si>
  <si>
    <t>Distance between Tension KV100 (m)</t>
  </si>
  <si>
    <t>Distance between Tension KV200 (m)</t>
  </si>
  <si>
    <t>KIT of Band-it meters (m)</t>
  </si>
  <si>
    <t>*Based on template</t>
  </si>
  <si>
    <t>Max Distance to cut cable (m)</t>
  </si>
  <si>
    <t>Max consecutive "S" (qty)</t>
  </si>
  <si>
    <t>*It's not recommended to modify this data.</t>
  </si>
  <si>
    <t>Si la ruta total es menor a distancia de corte, el excel falla.</t>
  </si>
  <si>
    <t>Si la ruta tiene en nombre 2Mx, no calcula las Mx. Mx_AYA0066-Mx_Partner</t>
  </si>
  <si>
    <t>N°</t>
  </si>
  <si>
    <t>BRANCH</t>
  </si>
  <si>
    <t>ROUTE TO DEPLOY</t>
  </si>
  <si>
    <t>HAVE SURVEY</t>
  </si>
  <si>
    <t>DESIGN DISTANCE</t>
  </si>
  <si>
    <t>SUM total cable</t>
  </si>
  <si>
    <t>WOODEN POLES - PINO AMARILLO</t>
  </si>
  <si>
    <t>CONCRETE POLE 9M</t>
  </si>
  <si>
    <t>CONCRETE POLE 11M</t>
  </si>
  <si>
    <t>CONCRETE POLE 13M</t>
  </si>
  <si>
    <t>CABLE 24FO/KV200 (6G655 + 18G652) DWDM</t>
  </si>
  <si>
    <t>CABLE 24FO/KV300 (6G655 + 18G652) DWDM</t>
  </si>
  <si>
    <t>CABLE 24FO/KV500 (6G655 + 18G652) DWDM</t>
  </si>
  <si>
    <t>CABLE 24FO/KV1000 (6G655 + 18G652) DWDM</t>
  </si>
  <si>
    <t>CABLE 24FO/KV200 (24G652) ACCESS</t>
  </si>
  <si>
    <t>CABLE 24FO/KV300 (24G652) ACCESS</t>
  </si>
  <si>
    <t>CABLE 24FO/KV500 (24G652) ACCESS</t>
  </si>
  <si>
    <t>CABLE 24FO/KV1000 (24G652) ACCESS</t>
  </si>
  <si>
    <t>CABLE 12FO/KV100 ACCESS</t>
  </si>
  <si>
    <t>CABLE 12FO/KV200 ACCESS</t>
  </si>
  <si>
    <t>CABLE 12FO/KV300 ACCESS</t>
  </si>
  <si>
    <t>CABLE 12/500 ACCESS</t>
  </si>
  <si>
    <t>CABLE 24FO/KV200 ANTIRAT</t>
  </si>
  <si>
    <t>TENSION SPAN200</t>
  </si>
  <si>
    <t xml:space="preserve">TENSION SPAN300 </t>
  </si>
  <si>
    <t>TENSION SPAN500</t>
  </si>
  <si>
    <t>TENSION SPAN1000
(One direction)</t>
  </si>
  <si>
    <t>SUPENSION
KV100</t>
  </si>
  <si>
    <t>SUPENSION
KV200</t>
  </si>
  <si>
    <t>CLEVIS</t>
  </si>
  <si>
    <t>OPGW</t>
  </si>
  <si>
    <t>ABRAZADERA type 1 (20.3cm -25cm of diameter)</t>
  </si>
  <si>
    <t>ABRAZADERA type 2 (28cm - 33cm of diameter)</t>
  </si>
  <si>
    <t>CINTA BANDIT + Hebilla</t>
  </si>
  <si>
    <t>MUFA 24FO</t>
  </si>
  <si>
    <t>CRUCETA</t>
  </si>
  <si>
    <t>ANTIVIBRADORES</t>
  </si>
  <si>
    <t>BULONG</t>
  </si>
  <si>
    <t>RETENIDA</t>
  </si>
  <si>
    <t>BRAZO</t>
  </si>
  <si>
    <t>Tap V</t>
  </si>
  <si>
    <t>ODF 24 FO INDOOR</t>
  </si>
  <si>
    <t>MUFA 12 FO</t>
  </si>
  <si>
    <t>ODF 12 FO INDOOR</t>
  </si>
  <si>
    <t>Patchcord FC/LC 5m</t>
  </si>
  <si>
    <t>Patchcord LC/LC 5m</t>
  </si>
  <si>
    <t>Modulos 1.25Gb 40Km</t>
  </si>
  <si>
    <t>LT Poles</t>
  </si>
  <si>
    <t>MT Poles</t>
  </si>
  <si>
    <t>-</t>
  </si>
  <si>
    <t>CONFIRMATION</t>
  </si>
  <si>
    <t>D &lt; 100</t>
  </si>
  <si>
    <t>D &lt; 200</t>
  </si>
  <si>
    <t>D &lt; 300</t>
  </si>
  <si>
    <t>D &lt; 500</t>
  </si>
  <si>
    <t>D &lt; 1000</t>
  </si>
  <si>
    <t>D &gt;1000</t>
  </si>
  <si>
    <t>Real usage</t>
  </si>
  <si>
    <t>Personalizar el corte de fibra por cada tipo de KV.</t>
  </si>
  <si>
    <t>FO Span100 (m)</t>
  </si>
  <si>
    <t>FO Span200 (m)</t>
  </si>
  <si>
    <t>FO Span300 (m)</t>
  </si>
  <si>
    <t>FO Span500 (m)</t>
  </si>
  <si>
    <t>FO Span1000 (m)</t>
  </si>
  <si>
    <t>Suspension span 100</t>
  </si>
  <si>
    <t>Suspension span 200</t>
  </si>
  <si>
    <t>Tension  (2 direcciones)</t>
  </si>
  <si>
    <t>Clevis</t>
  </si>
  <si>
    <t>cinta bandit (m)</t>
  </si>
  <si>
    <t>Hebilla (belt)</t>
  </si>
  <si>
    <t>Bulong (perno ojo)</t>
  </si>
  <si>
    <t>Retenida</t>
  </si>
  <si>
    <t>Antivibradores</t>
  </si>
  <si>
    <t>ODF 12</t>
  </si>
  <si>
    <t>Optical Closure</t>
  </si>
  <si>
    <t>Poles M-9M</t>
  </si>
  <si>
    <t>Poles C</t>
  </si>
  <si>
    <t>Directive</t>
  </si>
  <si>
    <t>FC/LC</t>
  </si>
  <si>
    <t>SFP 10G</t>
  </si>
  <si>
    <t xml:space="preserve">SRT </t>
  </si>
  <si>
    <t>span 100</t>
  </si>
  <si>
    <t>span 200</t>
  </si>
  <si>
    <t>span 300</t>
  </si>
  <si>
    <t>span 500</t>
  </si>
  <si>
    <t>span 1000</t>
  </si>
  <si>
    <t>40KM</t>
  </si>
  <si>
    <t>80KM</t>
  </si>
  <si>
    <t>N/A</t>
  </si>
  <si>
    <t>NOMBRE RUTA</t>
  </si>
  <si>
    <t>a 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</si>
</sst>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\ &quot;Km&quot;"/>
    <numFmt numFmtId="165" formatCode="0\ &quot;Kits&quot;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0"/>
      <color indexed="65"/>
      <name val="Calibri"/>
      <family val="2"/>
    </font>
    <font>
      <b/>
      <sz val="10"/>
      <color indexed="64"/>
      <name val="Calibri"/>
      <family val="2"/>
    </font>
    <font>
      <b/>
      <sz val="12"/>
      <color rgb="FFFF0000"/>
      <name val="Calibri"/>
      <family val="2"/>
    </font>
    <font>
      <sz val="11.5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2"/>
      <color rgb="FF000000"/>
      <name val="Aptos Narrow"/>
      <family val="2"/>
    </font>
    <font>
      <u/>
      <sz val="1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BDECB6"/>
        <bgColor indexed="64"/>
      </patternFill>
    </fill>
    <fill>
      <patternFill patternType="solid">
        <fgColor rgb="FF51D1F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62626"/>
        <bgColor rgb="FF262626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B4C6E7"/>
        <bgColor rgb="FFB4C6E7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D5015"/>
        <bgColor rgb="FF000000"/>
      </patternFill>
    </fill>
    <fill>
      <patternFill patternType="solid">
        <fgColor rgb="FFC48B1A"/>
        <bgColor rgb="FF000000"/>
      </patternFill>
    </fill>
    <fill>
      <patternFill patternType="solid">
        <fgColor rgb="FF593E06"/>
        <bgColor rgb="FF000000"/>
      </patternFill>
    </fill>
    <fill>
      <patternFill patternType="solid">
        <fgColor rgb="FFC8C8C8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3" fontId="0" fillId="0" borderId="1" xfId="1" applyFont="1" applyBorder="1"/>
    <xf numFmtId="43" fontId="7" fillId="0" borderId="1" xfId="1" applyFont="1" applyBorder="1" applyAlignment="1">
      <alignment horizontal="center"/>
    </xf>
    <xf numFmtId="0" fontId="1" fillId="7" borderId="1" xfId="0" applyFont="1" applyFill="1" applyBorder="1"/>
    <xf numFmtId="43" fontId="0" fillId="0" borderId="0" xfId="0" applyNumberFormat="1"/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/>
    </xf>
    <xf numFmtId="0" fontId="12" fillId="0" borderId="0" xfId="0" applyFont="1"/>
    <xf numFmtId="0" fontId="3" fillId="0" borderId="2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3" fillId="12" borderId="1" xfId="0" applyFont="1" applyFill="1" applyBorder="1" applyAlignment="1">
      <alignment horizontal="center" vertical="center" wrapText="1"/>
    </xf>
    <xf numFmtId="0" fontId="13" fillId="12" borderId="37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" fillId="6" borderId="25" xfId="0" applyFont="1" applyFill="1" applyBorder="1" applyAlignment="1">
      <alignment horizontal="center"/>
    </xf>
    <xf numFmtId="43" fontId="0" fillId="0" borderId="1" xfId="0" applyNumberFormat="1" applyBorder="1"/>
    <xf numFmtId="0" fontId="8" fillId="0" borderId="0" xfId="0" applyFont="1"/>
    <xf numFmtId="0" fontId="8" fillId="2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7" fontId="0" fillId="0" borderId="0" xfId="0" quotePrefix="1" applyNumberFormat="1" applyAlignment="1">
      <alignment horizontal="center"/>
    </xf>
    <xf numFmtId="0" fontId="1" fillId="16" borderId="1" xfId="0" applyFont="1" applyFill="1" applyBorder="1" applyAlignment="1">
      <alignment horizontal="center"/>
    </xf>
    <xf numFmtId="9" fontId="0" fillId="0" borderId="1" xfId="3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6" fillId="17" borderId="38" xfId="0" applyFont="1" applyFill="1" applyBorder="1" applyAlignment="1">
      <alignment horizontal="center" vertical="center" wrapText="1"/>
    </xf>
    <xf numFmtId="0" fontId="16" fillId="18" borderId="38" xfId="0" applyFont="1" applyFill="1" applyBorder="1" applyAlignment="1">
      <alignment horizontal="center" vertical="center" wrapText="1"/>
    </xf>
    <xf numFmtId="0" fontId="16" fillId="17" borderId="39" xfId="0" applyFont="1" applyFill="1" applyBorder="1" applyAlignment="1">
      <alignment horizontal="center" vertical="center" wrapText="1"/>
    </xf>
    <xf numFmtId="0" fontId="16" fillId="18" borderId="4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8" fillId="20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1" fillId="16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36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6" fillId="17" borderId="38" xfId="0" applyFont="1" applyFill="1" applyBorder="1" applyAlignment="1">
      <alignment horizontal="center" vertical="center" wrapText="1"/>
    </xf>
    <xf numFmtId="0" fontId="16" fillId="17" borderId="39" xfId="0" applyFont="1" applyFill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19" borderId="38" xfId="0" applyFont="1" applyFill="1" applyBorder="1" applyAlignment="1">
      <alignment horizontal="center" vertical="center"/>
    </xf>
    <xf numFmtId="0" fontId="16" fillId="19" borderId="40" xfId="0" applyFont="1" applyFill="1" applyBorder="1" applyAlignment="1">
      <alignment horizontal="center" vertical="center"/>
    </xf>
    <xf numFmtId="0" fontId="17" fillId="17" borderId="38" xfId="0" applyFont="1" applyFill="1" applyBorder="1" applyAlignment="1">
      <alignment horizontal="center" vertical="center" wrapText="1"/>
    </xf>
    <xf numFmtId="0" fontId="17" fillId="17" borderId="39" xfId="0" applyFont="1" applyFill="1" applyBorder="1" applyAlignment="1">
      <alignment horizontal="center" vertical="center" wrapText="1"/>
    </xf>
    <xf numFmtId="0" fontId="16" fillId="18" borderId="38" xfId="0" applyFont="1" applyFill="1" applyBorder="1" applyAlignment="1">
      <alignment horizontal="center" vertical="center" wrapText="1"/>
    </xf>
    <xf numFmtId="0" fontId="16" fillId="18" borderId="39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</cellXfs>
  <cellStyles count="4">
    <cellStyle name="Millares" xfId="1" builtinId="3"/>
    <cellStyle name="Millares 2" xfId="2" xr:uid="{00000000-0005-0000-0000-000001000000}"/>
    <cellStyle name="Normal" xfId="0" builtinId="0"/>
    <cellStyle name="Porcentaje" xfId="3" builtinId="5"/>
  </cellStyles>
  <dxfs count="5"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57150</xdr:colOff>
          <xdr:row>3</xdr:row>
          <xdr:rowOff>104775</xdr:rowOff>
        </xdr:from>
        <xdr:to>
          <xdr:col>14</xdr:col>
          <xdr:colOff>542925</xdr:colOff>
          <xdr:row>6</xdr:row>
          <xdr:rowOff>85725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419" sz="1200" b="1" i="0" u="none" strike="noStrike" baseline="0">
                  <a:solidFill>
                    <a:srgbClr val="000000"/>
                  </a:solidFill>
                  <a:latin typeface="Aptos Narrow"/>
                </a:rPr>
                <a:t>GENERATE FIBER DESIGN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varo André Martínez Gómez" id="{48F5C36D-93E1-41FA-890B-C39B62B4082D}" userId="9124aa26c6227c9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5-08-14T19:22:07.31" personId="{48F5C36D-93E1-41FA-890B-C39B62B4082D}" id="{DC47FBA1-0CA5-41E5-862F-439336E77C91}">
    <text>Max 15° sobre los 180° debido a que suspension no usa preformado de protección</text>
  </threadedComment>
  <threadedComment ref="C10" dT="2025-08-14T19:13:01.32" personId="{48F5C36D-93E1-41FA-890B-C39B62B4082D}" id="{E33ADB7C-C2FA-4653-B317-C6D1CFDA3206}">
    <text>Based on technical datasheets.</text>
  </threadedComment>
  <threadedComment ref="C11" dT="2025-08-14T19:13:07.68" personId="{48F5C36D-93E1-41FA-890B-C39B62B4082D}" id="{473D71B1-CE58-4551-8978-5944629C2FAB}">
    <text>Based on technical datasheets.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468"/>
  <sheetViews>
    <sheetView showGridLines="0" tabSelected="1" zoomScale="70" zoomScaleNormal="70" zoomScaleSheetLayoutView="85" zoomScalePageLayoutView="55" workbookViewId="0">
      <selection activeCell="G9" sqref="G9"/>
    </sheetView>
  </sheetViews>
  <sheetFormatPr baseColWidth="10" defaultColWidth="9" defaultRowHeight="15" x14ac:dyDescent="0.25"/>
  <cols>
    <col min="1" max="1" width="19.140625" style="1" customWidth="1"/>
    <col min="2" max="3" width="19.7109375" style="1" bestFit="1" customWidth="1"/>
    <col min="4" max="4" width="8.7109375" style="1" customWidth="1"/>
    <col min="5" max="5" width="21" style="1" customWidth="1"/>
    <col min="6" max="6" width="16.85546875" style="1" customWidth="1"/>
    <col min="7" max="7" width="19.140625" style="55" customWidth="1"/>
    <col min="8" max="8" width="19.140625" style="1" customWidth="1"/>
    <col min="9" max="9" width="20.28515625" style="1" bestFit="1" customWidth="1"/>
    <col min="10" max="10" width="19.28515625" style="1" customWidth="1"/>
    <col min="11" max="11" width="9.42578125" customWidth="1"/>
    <col min="12" max="12" width="19.28515625" customWidth="1"/>
    <col min="13" max="13" width="12" bestFit="1" customWidth="1"/>
    <col min="14" max="15" width="12.5703125" customWidth="1"/>
    <col min="16" max="16" width="11.140625" bestFit="1" customWidth="1"/>
    <col min="17" max="17" width="9.140625" bestFit="1" customWidth="1"/>
    <col min="18" max="18" width="10.7109375" bestFit="1" customWidth="1"/>
    <col min="25" max="25" width="10.140625" bestFit="1" customWidth="1"/>
  </cols>
  <sheetData>
    <row r="1" spans="1:25" ht="42.6" customHeight="1" x14ac:dyDescent="0.25">
      <c r="A1" s="81" t="s">
        <v>183</v>
      </c>
      <c r="B1" s="81"/>
      <c r="C1" s="81"/>
      <c r="D1" s="81"/>
      <c r="E1" s="81"/>
      <c r="F1" s="81"/>
      <c r="G1" s="81"/>
      <c r="H1" s="81"/>
      <c r="I1" s="81"/>
      <c r="J1" s="81"/>
    </row>
    <row r="2" spans="1:25" s="2" customFormat="1" ht="40.9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spans="1:25" x14ac:dyDescent="0.25">
      <c r="A3"/>
      <c r="B3"/>
      <c r="C3"/>
      <c r="E3" s="55"/>
      <c r="F3" s="55"/>
      <c r="G3" s="79"/>
      <c r="H3" s="55"/>
      <c r="I3" s="55"/>
      <c r="J3" s="64"/>
      <c r="L3" s="55"/>
    </row>
    <row r="4" spans="1:25" x14ac:dyDescent="0.25">
      <c r="A4"/>
      <c r="B4"/>
      <c r="C4"/>
      <c r="E4" s="55"/>
      <c r="F4" s="55"/>
      <c r="G4" s="79"/>
      <c r="H4" s="55"/>
      <c r="I4" s="55"/>
      <c r="J4" s="64"/>
      <c r="L4" s="55"/>
    </row>
    <row r="5" spans="1:25" x14ac:dyDescent="0.25">
      <c r="A5"/>
      <c r="B5"/>
      <c r="C5"/>
      <c r="E5" s="55"/>
      <c r="F5" s="55"/>
      <c r="G5" s="79"/>
      <c r="H5" s="55"/>
      <c r="I5" s="55"/>
      <c r="J5" s="64"/>
      <c r="L5" s="55"/>
    </row>
    <row r="6" spans="1:25" x14ac:dyDescent="0.25">
      <c r="A6"/>
      <c r="B6"/>
      <c r="C6"/>
      <c r="E6" s="55"/>
      <c r="F6" s="55"/>
      <c r="G6" s="79"/>
      <c r="H6" s="55"/>
      <c r="I6" s="55"/>
      <c r="J6" s="64"/>
      <c r="L6" s="55"/>
    </row>
    <row r="7" spans="1:25" x14ac:dyDescent="0.25">
      <c r="A7"/>
      <c r="B7"/>
      <c r="C7"/>
      <c r="E7" s="55"/>
      <c r="F7" s="55"/>
      <c r="G7" s="79"/>
      <c r="H7" s="55"/>
      <c r="I7" s="55"/>
      <c r="J7" s="64"/>
      <c r="L7" s="55"/>
    </row>
    <row r="8" spans="1:25" x14ac:dyDescent="0.25">
      <c r="A8"/>
      <c r="B8"/>
      <c r="C8"/>
      <c r="E8" s="55"/>
      <c r="F8" s="55"/>
      <c r="G8" s="79"/>
      <c r="H8" s="55"/>
      <c r="I8" s="55"/>
      <c r="J8" s="64"/>
      <c r="L8" s="55"/>
    </row>
    <row r="9" spans="1:25" x14ac:dyDescent="0.25">
      <c r="A9"/>
      <c r="B9"/>
      <c r="C9"/>
      <c r="E9" s="55"/>
      <c r="F9" s="55"/>
      <c r="G9" s="79"/>
      <c r="H9" s="55"/>
      <c r="I9" s="55"/>
      <c r="J9" s="64"/>
      <c r="L9" s="55"/>
    </row>
    <row r="10" spans="1:25" x14ac:dyDescent="0.25">
      <c r="A10"/>
      <c r="B10"/>
      <c r="C10"/>
      <c r="E10" s="55"/>
      <c r="F10" s="55"/>
      <c r="G10" s="79"/>
      <c r="H10" s="55"/>
      <c r="I10" s="55"/>
      <c r="J10" s="64"/>
      <c r="L10" s="55"/>
    </row>
    <row r="11" spans="1:25" x14ac:dyDescent="0.25">
      <c r="A11"/>
      <c r="B11"/>
      <c r="C11"/>
      <c r="E11" s="55"/>
      <c r="F11" s="55"/>
      <c r="G11" s="79"/>
      <c r="H11" s="55"/>
      <c r="I11" s="55"/>
      <c r="J11" s="64"/>
      <c r="L11" s="55"/>
    </row>
    <row r="12" spans="1:25" x14ac:dyDescent="0.25">
      <c r="A12"/>
      <c r="B12"/>
      <c r="C12"/>
      <c r="E12" s="55"/>
      <c r="F12" s="55"/>
      <c r="G12" s="79"/>
      <c r="H12" s="55"/>
      <c r="I12" s="55"/>
      <c r="J12" s="64"/>
      <c r="L12" s="55"/>
      <c r="M12" s="80" t="s">
        <v>11</v>
      </c>
      <c r="N12" s="80"/>
      <c r="O12" s="80"/>
      <c r="P12" s="80"/>
      <c r="Q12" s="80"/>
      <c r="R12" s="80"/>
      <c r="S12" s="82" t="s">
        <v>144</v>
      </c>
      <c r="T12" s="82"/>
      <c r="U12" s="82"/>
      <c r="V12" s="82"/>
      <c r="W12" s="82"/>
      <c r="X12" s="82"/>
      <c r="Y12" s="82"/>
    </row>
    <row r="13" spans="1:25" x14ac:dyDescent="0.25">
      <c r="A13"/>
      <c r="B13"/>
      <c r="C13"/>
      <c r="E13" s="55"/>
      <c r="F13" s="55"/>
      <c r="G13" s="79"/>
      <c r="H13" s="55"/>
      <c r="I13" s="55"/>
      <c r="J13" s="64"/>
      <c r="L13" s="55"/>
      <c r="M13" s="47" t="s">
        <v>12</v>
      </c>
      <c r="N13" s="47" t="s">
        <v>13</v>
      </c>
      <c r="O13" s="47" t="s">
        <v>14</v>
      </c>
      <c r="P13" s="47" t="s">
        <v>15</v>
      </c>
      <c r="Q13" s="47" t="s">
        <v>16</v>
      </c>
      <c r="R13" s="47" t="s">
        <v>17</v>
      </c>
      <c r="S13" s="71" t="s">
        <v>145</v>
      </c>
      <c r="T13" s="71" t="s">
        <v>146</v>
      </c>
      <c r="U13" s="71" t="s">
        <v>147</v>
      </c>
      <c r="V13" s="71" t="s">
        <v>148</v>
      </c>
      <c r="W13" s="71" t="s">
        <v>149</v>
      </c>
      <c r="X13" s="71" t="s">
        <v>150</v>
      </c>
      <c r="Y13" s="71" t="s">
        <v>151</v>
      </c>
    </row>
    <row r="14" spans="1:25" x14ac:dyDescent="0.25">
      <c r="A14"/>
      <c r="B14"/>
      <c r="C14"/>
      <c r="E14" s="55"/>
      <c r="F14" s="55"/>
      <c r="G14" s="79"/>
      <c r="H14" s="55"/>
      <c r="I14" s="55"/>
      <c r="J14" s="64"/>
      <c r="L14" s="55"/>
      <c r="M14" s="48" t="s">
        <v>18</v>
      </c>
      <c r="N14" s="48">
        <f>_xlfn.MAXIFS(E:E,G:G,M14)</f>
        <v>0</v>
      </c>
      <c r="O14" s="48">
        <f>_xlfn.MINIFS(E:E,G:G,M14)</f>
        <v>0</v>
      </c>
      <c r="P14" s="31">
        <f>SUMIFS(E:E,G:G,M14)</f>
        <v>0</v>
      </c>
      <c r="Q14" s="32">
        <f>COUNTIFS(F:F,"T",G:G,M14)</f>
        <v>0</v>
      </c>
      <c r="R14" s="32">
        <f>COUNTIFS(F:F,"S",G:G,M14)</f>
        <v>0</v>
      </c>
      <c r="S14" s="4">
        <f>COUNTIFS($G:$G,$M14,$E:$E,"&lt;=100")</f>
        <v>0</v>
      </c>
      <c r="T14" s="4">
        <f>COUNTIFS($G:$G,$M14,$E:$E,"&lt;=200",$E:$E,"&gt;100")</f>
        <v>0</v>
      </c>
      <c r="U14" s="4">
        <f>COUNTIFS($G:$G,$M14,$E:$E,"&lt;=300",$E:$E,"&gt;200")</f>
        <v>0</v>
      </c>
      <c r="V14" s="4">
        <f>COUNTIFS($G:$G,$M14,$E:$E,"&lt;=500",$E:$E,"&gt;300")</f>
        <v>0</v>
      </c>
      <c r="W14" s="4">
        <f>COUNTIFS($G:$G,$M14,$E:$E,"&lt;=1000",$E:$E,"&gt;500")</f>
        <v>0</v>
      </c>
      <c r="X14" s="4">
        <f>COUNTIFS($G:$G,$M14,$E:$E,"&gt;1000")</f>
        <v>0</v>
      </c>
      <c r="Y14" s="72" t="str">
        <f>IF(SUM(S14:X14)=0,"-",S14/SUM(S14:X14))</f>
        <v>-</v>
      </c>
    </row>
    <row r="15" spans="1:25" x14ac:dyDescent="0.25">
      <c r="A15"/>
      <c r="B15"/>
      <c r="C15"/>
      <c r="E15" s="55"/>
      <c r="F15" s="55"/>
      <c r="G15" s="79"/>
      <c r="H15" s="55"/>
      <c r="I15" s="55"/>
      <c r="J15" s="64"/>
      <c r="L15" s="55"/>
      <c r="M15" s="48" t="s">
        <v>10</v>
      </c>
      <c r="N15" s="48">
        <f>_xlfn.MAXIFS(E:E,G:G,M15)</f>
        <v>0</v>
      </c>
      <c r="O15" s="48">
        <f>_xlfn.MINIFS(E:E,G:G,M15)</f>
        <v>0</v>
      </c>
      <c r="P15" s="31">
        <f>SUMIFS(E:E,G:G,M15)</f>
        <v>0</v>
      </c>
      <c r="Q15" s="32">
        <f>COUNTIFS(F:F,"T",G:G,M15)</f>
        <v>0</v>
      </c>
      <c r="R15" s="32">
        <f>COUNTIFS(F:F,"S",G:G,M15)</f>
        <v>0</v>
      </c>
      <c r="S15" s="4">
        <f>COUNTIFS($G:$G,$M15,$E:$E,"&lt;=100")</f>
        <v>0</v>
      </c>
      <c r="T15" s="4">
        <f>COUNTIFS($G:$G,$M15,$E:$E,"&lt;=200",$E:$E,"&gt;100")</f>
        <v>0</v>
      </c>
      <c r="U15" s="4">
        <f>COUNTIFS($G:$G,$M15,$E:$E,"&lt;=300",$E:$E,"&gt;200")</f>
        <v>0</v>
      </c>
      <c r="V15" s="4">
        <f>COUNTIFS($G:$G,$M15,$E:$E,"&lt;=500",$E:$E,"&gt;300")</f>
        <v>0</v>
      </c>
      <c r="W15" s="4">
        <f>COUNTIFS($G:$G,$M15,$E:$E,"&lt;=1000",$E:$E,"&gt;500")</f>
        <v>0</v>
      </c>
      <c r="X15" s="4">
        <f>COUNTIFS($G:$G,$M15,$E:$E,"&gt;1000")</f>
        <v>0</v>
      </c>
      <c r="Y15" s="72" t="str">
        <f>IF(SUM(S15:X15)=0,"-",T15/SUM(S15:X15))</f>
        <v>-</v>
      </c>
    </row>
    <row r="16" spans="1:25" x14ac:dyDescent="0.25">
      <c r="A16"/>
      <c r="B16"/>
      <c r="C16"/>
      <c r="E16" s="55"/>
      <c r="F16" s="55"/>
      <c r="G16" s="79"/>
      <c r="H16" s="55"/>
      <c r="I16" s="55"/>
      <c r="J16" s="64"/>
      <c r="L16" s="55"/>
      <c r="M16" s="48" t="s">
        <v>19</v>
      </c>
      <c r="N16" s="48">
        <f>_xlfn.MAXIFS(E:E,G:G,M16)</f>
        <v>0</v>
      </c>
      <c r="O16" s="48">
        <f>_xlfn.MINIFS(E:E,G:G,M16)</f>
        <v>0</v>
      </c>
      <c r="P16" s="31">
        <f>SUMIFS(E:E,G:G,M16)</f>
        <v>0</v>
      </c>
      <c r="Q16" s="32">
        <f>COUNTIFS(F:F,"T",G:G,M16)</f>
        <v>0</v>
      </c>
      <c r="R16" s="32">
        <f>COUNTIFS(F:F,"S",G:G,M16)</f>
        <v>0</v>
      </c>
      <c r="S16" s="4">
        <f>COUNTIFS($G:$G,$M16,$E:$E,"&lt;=100")</f>
        <v>0</v>
      </c>
      <c r="T16" s="4">
        <f>COUNTIFS($G:$G,$M16,$E:$E,"&lt;=200",$E:$E,"&gt;100")</f>
        <v>0</v>
      </c>
      <c r="U16" s="4">
        <f>COUNTIFS($G:$G,$M16,$E:$E,"&lt;=300",$E:$E,"&gt;200")</f>
        <v>0</v>
      </c>
      <c r="V16" s="4">
        <f>COUNTIFS($G:$G,$M16,$E:$E,"&lt;=500",$E:$E,"&gt;300")</f>
        <v>0</v>
      </c>
      <c r="W16" s="4">
        <f>COUNTIFS($G:$G,$M16,$E:$E,"&lt;=1000",$E:$E,"&gt;500")</f>
        <v>0</v>
      </c>
      <c r="X16" s="4">
        <f>COUNTIFS($G:$G,$M16,$E:$E,"&gt;1000")</f>
        <v>0</v>
      </c>
      <c r="Y16" s="72" t="str">
        <f>IF(SUM(S16:X16)=0,"-",U16/SUM(S16:X16))</f>
        <v>-</v>
      </c>
    </row>
    <row r="17" spans="1:25" x14ac:dyDescent="0.25">
      <c r="A17"/>
      <c r="B17"/>
      <c r="C17"/>
      <c r="E17" s="55"/>
      <c r="F17" s="55"/>
      <c r="G17" s="79"/>
      <c r="H17" s="55"/>
      <c r="I17" s="55"/>
      <c r="J17" s="64"/>
      <c r="L17" s="55"/>
      <c r="M17" s="48" t="s">
        <v>20</v>
      </c>
      <c r="N17" s="48">
        <f>_xlfn.MAXIFS(E:E,G:G,M17)</f>
        <v>0</v>
      </c>
      <c r="O17" s="48">
        <f>_xlfn.MINIFS(E:E,G:G,M17)</f>
        <v>0</v>
      </c>
      <c r="P17" s="31">
        <f>SUMIFS(E:E,G:G,M17)</f>
        <v>0</v>
      </c>
      <c r="Q17" s="32">
        <f>COUNTIFS(F:F,"T",G:G,M17)</f>
        <v>0</v>
      </c>
      <c r="R17" s="32">
        <f>COUNTIFS(F:F,"S",G:G,M17)</f>
        <v>0</v>
      </c>
      <c r="S17" s="4">
        <f>COUNTIFS($G:$G,$M17,$E:$E,"&lt;=100")</f>
        <v>0</v>
      </c>
      <c r="T17" s="4">
        <f>COUNTIFS($G:$G,$M17,$E:$E,"&lt;=200",$E:$E,"&gt;100")</f>
        <v>0</v>
      </c>
      <c r="U17" s="4">
        <f>COUNTIFS($G:$G,$M17,$E:$E,"&lt;=300",$E:$E,"&gt;200")</f>
        <v>0</v>
      </c>
      <c r="V17" s="4">
        <f>COUNTIFS($G:$G,$M17,$E:$E,"&lt;=500",$E:$E,"&gt;300")</f>
        <v>0</v>
      </c>
      <c r="W17" s="4">
        <f>COUNTIFS($G:$G,$M17,$E:$E,"&lt;=1000",$E:$E,"&gt;500")</f>
        <v>0</v>
      </c>
      <c r="X17" s="4">
        <f>COUNTIFS($G:$G,$M17,$E:$E,"&gt;1000")</f>
        <v>0</v>
      </c>
      <c r="Y17" s="72" t="str">
        <f>IF(SUM(S17:X17)=0,"-",V17/SUM(S17:X17))</f>
        <v>-</v>
      </c>
    </row>
    <row r="18" spans="1:25" x14ac:dyDescent="0.25">
      <c r="A18"/>
      <c r="B18"/>
      <c r="C18"/>
      <c r="D18" s="69"/>
      <c r="E18" s="55"/>
      <c r="F18" s="55"/>
      <c r="G18" s="79"/>
      <c r="H18" s="55"/>
      <c r="I18" s="55"/>
      <c r="J18" s="64"/>
      <c r="L18" s="55"/>
      <c r="M18" s="48" t="s">
        <v>21</v>
      </c>
      <c r="N18" s="48">
        <f>_xlfn.MAXIFS(E:E,G:G,M18)</f>
        <v>0</v>
      </c>
      <c r="O18" s="48">
        <f>_xlfn.MINIFS(E:E,G:G,M18)</f>
        <v>0</v>
      </c>
      <c r="P18" s="31">
        <f>SUMIFS(E:E,G:G,M18)</f>
        <v>0</v>
      </c>
      <c r="Q18" s="32">
        <f>COUNTIFS(F:F,"T",G:G,M18)</f>
        <v>0</v>
      </c>
      <c r="R18" s="32">
        <f>COUNTIFS(F:F,"S",G:G,M18)</f>
        <v>0</v>
      </c>
      <c r="S18" s="4">
        <f>COUNTIFS($G:$G,$M18,$E:$E,"&lt;=100")</f>
        <v>0</v>
      </c>
      <c r="T18" s="4">
        <f>COUNTIFS($G:$G,$M18,$E:$E,"&lt;=200",$E:$E,"&gt;100")</f>
        <v>0</v>
      </c>
      <c r="U18" s="4">
        <f>COUNTIFS($G:$G,$M18,$E:$E,"&lt;=300",$E:$E,"&gt;200")</f>
        <v>0</v>
      </c>
      <c r="V18" s="4">
        <f>COUNTIFS($G:$G,$M18,$E:$E,"&lt;=500",$E:$E,"&gt;300")</f>
        <v>0</v>
      </c>
      <c r="W18" s="4">
        <f>COUNTIFS($G:$G,$M18,$E:$E,"&lt;=1000",$E:$E,"&gt;500")</f>
        <v>0</v>
      </c>
      <c r="X18" s="4">
        <f>COUNTIFS($G:$G,$M18,$E:$E,"&gt;1000")</f>
        <v>0</v>
      </c>
      <c r="Y18" s="72" t="str">
        <f>IF(SUM(S18:X18)=0,"-",W18/SUM(S18:X18))</f>
        <v>-</v>
      </c>
    </row>
    <row r="19" spans="1:25" x14ac:dyDescent="0.25">
      <c r="A19"/>
      <c r="B19"/>
      <c r="C19"/>
      <c r="E19" s="55"/>
      <c r="F19" s="55"/>
      <c r="G19" s="79"/>
      <c r="H19" s="55"/>
      <c r="I19" s="55"/>
      <c r="J19" s="64"/>
      <c r="L19" s="55"/>
      <c r="M19" s="80" t="s">
        <v>22</v>
      </c>
      <c r="N19" s="80"/>
      <c r="O19" s="80"/>
      <c r="P19" s="33">
        <f t="shared" ref="P19:X19" si="0">SUM(P14:P18)</f>
        <v>0</v>
      </c>
      <c r="Q19" s="33">
        <f t="shared" si="0"/>
        <v>0</v>
      </c>
      <c r="R19" s="33">
        <f t="shared" si="0"/>
        <v>0</v>
      </c>
      <c r="S19" s="4">
        <f t="shared" si="0"/>
        <v>0</v>
      </c>
      <c r="T19" s="4">
        <f t="shared" si="0"/>
        <v>0</v>
      </c>
      <c r="U19" s="4">
        <f t="shared" si="0"/>
        <v>0</v>
      </c>
      <c r="V19" s="4">
        <f t="shared" si="0"/>
        <v>0</v>
      </c>
      <c r="W19" s="4">
        <f t="shared" si="0"/>
        <v>0</v>
      </c>
      <c r="X19" s="4">
        <f t="shared" si="0"/>
        <v>0</v>
      </c>
      <c r="Y19" s="73">
        <f>MIN(Y14:Y18)</f>
        <v>0</v>
      </c>
    </row>
    <row r="20" spans="1:25" x14ac:dyDescent="0.25">
      <c r="E20" s="55"/>
      <c r="F20" s="55"/>
      <c r="G20" s="79"/>
      <c r="H20" s="55"/>
      <c r="I20" s="78"/>
      <c r="J20" s="64"/>
      <c r="L20" s="55"/>
      <c r="M20" s="1"/>
      <c r="N20" s="1"/>
      <c r="O20" s="1"/>
      <c r="P20" s="1"/>
    </row>
    <row r="21" spans="1:25" x14ac:dyDescent="0.25">
      <c r="A21"/>
      <c r="B21"/>
      <c r="C21"/>
      <c r="E21" s="55"/>
      <c r="F21" s="55"/>
      <c r="G21" s="79"/>
      <c r="H21" s="55"/>
      <c r="I21" s="55"/>
      <c r="J21" s="64"/>
      <c r="L21" s="55"/>
      <c r="P21" s="1"/>
    </row>
    <row r="22" spans="1:25" x14ac:dyDescent="0.25">
      <c r="A22"/>
      <c r="B22"/>
      <c r="C22"/>
      <c r="E22" s="55"/>
      <c r="F22" s="55"/>
      <c r="G22" s="79"/>
      <c r="H22" s="55"/>
      <c r="I22" s="55"/>
      <c r="J22" s="64"/>
      <c r="L22" s="55"/>
      <c r="P22" s="1"/>
      <c r="Q22" s="35"/>
      <c r="R22" s="35"/>
    </row>
    <row r="23" spans="1:25" x14ac:dyDescent="0.25">
      <c r="A23"/>
      <c r="B23"/>
      <c r="C23"/>
      <c r="E23" s="55"/>
      <c r="F23" s="55"/>
      <c r="G23" s="67"/>
      <c r="H23" s="55"/>
      <c r="I23" s="55"/>
      <c r="J23" s="64"/>
      <c r="L23" s="55"/>
    </row>
    <row r="24" spans="1:25" x14ac:dyDescent="0.25">
      <c r="A24"/>
      <c r="B24"/>
      <c r="C24"/>
      <c r="E24" s="55"/>
      <c r="F24" s="55"/>
      <c r="G24" s="67"/>
      <c r="H24" s="55"/>
      <c r="I24" s="55"/>
      <c r="J24" s="64"/>
      <c r="L24" s="55"/>
    </row>
    <row r="25" spans="1:25" x14ac:dyDescent="0.25">
      <c r="A25"/>
      <c r="B25"/>
      <c r="C25"/>
      <c r="E25" s="55"/>
      <c r="F25" s="55"/>
      <c r="G25" s="67"/>
      <c r="H25" s="55"/>
      <c r="I25" s="55"/>
      <c r="J25" s="64"/>
      <c r="L25" s="55"/>
      <c r="M25" s="38" t="s">
        <v>23</v>
      </c>
    </row>
    <row r="26" spans="1:25" x14ac:dyDescent="0.25">
      <c r="A26"/>
      <c r="B26"/>
      <c r="C26"/>
      <c r="E26" s="55"/>
      <c r="F26" s="55"/>
      <c r="G26" s="67"/>
      <c r="H26" s="55"/>
      <c r="I26" s="55"/>
      <c r="J26" s="64"/>
      <c r="L26" s="55"/>
      <c r="M26" t="s">
        <v>24</v>
      </c>
    </row>
    <row r="27" spans="1:25" x14ac:dyDescent="0.25">
      <c r="A27"/>
      <c r="B27"/>
      <c r="C27"/>
      <c r="E27" s="55"/>
      <c r="F27" s="55"/>
      <c r="G27" s="67"/>
      <c r="H27" s="55"/>
      <c r="I27" s="55"/>
      <c r="J27" s="64"/>
      <c r="L27" s="55"/>
      <c r="M27" t="s">
        <v>25</v>
      </c>
    </row>
    <row r="28" spans="1:25" x14ac:dyDescent="0.25">
      <c r="A28"/>
      <c r="B28"/>
      <c r="C28"/>
      <c r="E28" s="55"/>
      <c r="F28" s="55"/>
      <c r="G28" s="67"/>
      <c r="H28" s="55"/>
      <c r="I28" s="55"/>
      <c r="J28" s="64"/>
      <c r="L28" s="55"/>
      <c r="M28" t="s">
        <v>26</v>
      </c>
    </row>
    <row r="29" spans="1:25" x14ac:dyDescent="0.25">
      <c r="A29"/>
      <c r="B29"/>
      <c r="C29"/>
      <c r="E29" s="55"/>
      <c r="F29" s="55"/>
      <c r="G29" s="67"/>
      <c r="H29" s="55"/>
      <c r="I29" s="55"/>
      <c r="J29" s="64"/>
      <c r="L29" s="55"/>
      <c r="M29" s="39" t="s">
        <v>27</v>
      </c>
    </row>
    <row r="30" spans="1:25" x14ac:dyDescent="0.25">
      <c r="A30"/>
      <c r="B30"/>
      <c r="C30"/>
      <c r="E30" s="55"/>
      <c r="F30" s="55"/>
      <c r="G30" s="67"/>
      <c r="H30" s="55"/>
      <c r="I30" s="55"/>
      <c r="J30" s="64"/>
      <c r="L30" s="55"/>
      <c r="M30" t="s">
        <v>28</v>
      </c>
    </row>
    <row r="31" spans="1:25" x14ac:dyDescent="0.25">
      <c r="A31"/>
      <c r="B31"/>
      <c r="C31"/>
      <c r="E31" s="55"/>
      <c r="F31" s="55"/>
      <c r="G31" s="67"/>
      <c r="H31" s="55"/>
      <c r="I31" s="55"/>
      <c r="J31" s="64"/>
      <c r="L31" s="55"/>
      <c r="M31" t="s">
        <v>29</v>
      </c>
    </row>
    <row r="32" spans="1:25" x14ac:dyDescent="0.25">
      <c r="A32"/>
      <c r="B32"/>
      <c r="C32"/>
      <c r="E32" s="55"/>
      <c r="F32" s="55"/>
      <c r="G32" s="67"/>
      <c r="H32" s="55"/>
      <c r="I32" s="55"/>
      <c r="J32" s="64"/>
      <c r="L32" s="55"/>
      <c r="M32" t="s">
        <v>30</v>
      </c>
    </row>
    <row r="33" spans="1:13" x14ac:dyDescent="0.25">
      <c r="A33"/>
      <c r="B33"/>
      <c r="C33"/>
      <c r="E33" s="55"/>
      <c r="F33" s="55"/>
      <c r="G33" s="65"/>
      <c r="H33" s="55"/>
      <c r="I33" s="55"/>
      <c r="J33" s="64"/>
      <c r="L33" s="55"/>
      <c r="M33" t="s">
        <v>31</v>
      </c>
    </row>
    <row r="34" spans="1:13" x14ac:dyDescent="0.25">
      <c r="A34"/>
      <c r="B34"/>
      <c r="C34"/>
      <c r="E34" s="55"/>
      <c r="F34" s="55"/>
      <c r="G34" s="65"/>
      <c r="H34" s="55"/>
      <c r="I34" s="55"/>
      <c r="J34" s="64"/>
      <c r="L34" s="55"/>
      <c r="M34" t="s">
        <v>32</v>
      </c>
    </row>
    <row r="35" spans="1:13" x14ac:dyDescent="0.25">
      <c r="A35"/>
      <c r="B35"/>
      <c r="C35"/>
      <c r="E35" s="55"/>
      <c r="F35" s="55"/>
      <c r="G35" s="65"/>
      <c r="H35" s="55"/>
      <c r="I35" s="55"/>
      <c r="J35" s="64"/>
      <c r="L35" s="55"/>
      <c r="M35" t="s">
        <v>33</v>
      </c>
    </row>
    <row r="36" spans="1:13" x14ac:dyDescent="0.25">
      <c r="A36"/>
      <c r="B36"/>
      <c r="C36"/>
      <c r="E36" s="55"/>
      <c r="F36" s="55"/>
      <c r="G36" s="65"/>
      <c r="H36" s="55"/>
      <c r="I36" s="55"/>
      <c r="J36" s="64"/>
      <c r="L36" s="55"/>
      <c r="M36" t="s">
        <v>34</v>
      </c>
    </row>
    <row r="37" spans="1:13" x14ac:dyDescent="0.25">
      <c r="A37"/>
      <c r="B37"/>
      <c r="C37"/>
      <c r="E37" s="55"/>
      <c r="F37" s="55"/>
      <c r="G37" s="65"/>
      <c r="H37" s="55"/>
      <c r="I37" s="55"/>
      <c r="J37" s="64"/>
      <c r="L37" s="55"/>
      <c r="M37" t="s">
        <v>35</v>
      </c>
    </row>
    <row r="38" spans="1:13" x14ac:dyDescent="0.25">
      <c r="A38"/>
      <c r="B38"/>
      <c r="C38"/>
      <c r="E38" s="55"/>
      <c r="F38" s="55"/>
      <c r="G38" s="65"/>
      <c r="H38" s="55"/>
      <c r="I38" s="55"/>
      <c r="J38" s="64"/>
      <c r="L38" s="55"/>
      <c r="M38" t="s">
        <v>36</v>
      </c>
    </row>
    <row r="39" spans="1:13" x14ac:dyDescent="0.25">
      <c r="A39"/>
      <c r="B39"/>
      <c r="C39"/>
      <c r="E39" s="55"/>
      <c r="F39" s="55"/>
      <c r="G39" s="65"/>
      <c r="H39" s="55"/>
      <c r="I39" s="55"/>
      <c r="J39" s="64"/>
      <c r="L39" s="55"/>
    </row>
    <row r="40" spans="1:13" ht="21" x14ac:dyDescent="0.35">
      <c r="A40"/>
      <c r="B40"/>
      <c r="C40"/>
      <c r="E40" s="55"/>
      <c r="F40" s="55"/>
      <c r="G40" s="65"/>
      <c r="H40" s="55"/>
      <c r="I40" s="55"/>
      <c r="J40" s="64"/>
      <c r="L40" s="55"/>
      <c r="M40" s="40" t="s">
        <v>37</v>
      </c>
    </row>
    <row r="41" spans="1:13" x14ac:dyDescent="0.25">
      <c r="A41"/>
      <c r="B41"/>
      <c r="C41"/>
      <c r="E41" s="55"/>
      <c r="F41" s="55"/>
      <c r="G41" s="65"/>
      <c r="H41" s="55"/>
      <c r="I41" s="55"/>
      <c r="J41" s="64"/>
      <c r="L41" s="55"/>
    </row>
    <row r="42" spans="1:13" x14ac:dyDescent="0.25">
      <c r="A42"/>
      <c r="B42"/>
      <c r="C42"/>
      <c r="E42" s="55"/>
      <c r="F42" s="55"/>
      <c r="G42" s="65"/>
      <c r="H42" s="55"/>
      <c r="I42" s="55"/>
      <c r="J42" s="64"/>
      <c r="L42" s="55"/>
    </row>
    <row r="43" spans="1:13" x14ac:dyDescent="0.25">
      <c r="A43"/>
      <c r="B43"/>
      <c r="C43"/>
      <c r="E43" s="55"/>
      <c r="F43" s="55"/>
      <c r="G43" s="65"/>
      <c r="H43" s="55"/>
      <c r="I43" s="55"/>
      <c r="J43" s="64"/>
      <c r="L43" s="55"/>
    </row>
    <row r="44" spans="1:13" x14ac:dyDescent="0.25">
      <c r="E44" s="55"/>
      <c r="F44" s="55"/>
      <c r="G44" s="65"/>
      <c r="H44" s="55"/>
      <c r="I44" s="55"/>
      <c r="J44" s="64"/>
      <c r="L44" s="55"/>
    </row>
    <row r="45" spans="1:13" x14ac:dyDescent="0.25">
      <c r="E45" s="55"/>
      <c r="F45" s="55"/>
      <c r="G45" s="65"/>
      <c r="H45" s="55"/>
      <c r="I45" s="55"/>
      <c r="J45" s="64"/>
      <c r="L45" s="55"/>
    </row>
    <row r="46" spans="1:13" x14ac:dyDescent="0.25">
      <c r="E46" s="55"/>
      <c r="F46" s="55"/>
      <c r="G46" s="65"/>
      <c r="H46" s="55"/>
      <c r="I46" s="55"/>
      <c r="J46" s="64"/>
      <c r="L46" s="55"/>
    </row>
    <row r="47" spans="1:13" x14ac:dyDescent="0.25">
      <c r="E47" s="55"/>
      <c r="F47" s="55"/>
      <c r="G47" s="65"/>
      <c r="H47" s="55"/>
      <c r="I47" s="55"/>
      <c r="J47" s="64"/>
      <c r="L47" s="55"/>
    </row>
    <row r="48" spans="1:13" x14ac:dyDescent="0.25">
      <c r="E48" s="55"/>
      <c r="F48" s="55"/>
      <c r="G48" s="65"/>
      <c r="H48" s="55"/>
      <c r="I48" s="55"/>
      <c r="J48" s="64"/>
      <c r="L48" s="55"/>
    </row>
    <row r="49" spans="5:12" x14ac:dyDescent="0.25">
      <c r="E49" s="55"/>
      <c r="F49" s="55"/>
      <c r="G49" s="67"/>
      <c r="H49" s="55"/>
      <c r="I49" s="55"/>
      <c r="J49" s="64"/>
      <c r="L49" s="55"/>
    </row>
    <row r="50" spans="5:12" x14ac:dyDescent="0.25">
      <c r="E50" s="55"/>
      <c r="F50" s="55"/>
      <c r="G50" s="67"/>
      <c r="H50" s="55"/>
      <c r="I50" s="55"/>
      <c r="J50" s="64"/>
      <c r="L50" s="55"/>
    </row>
    <row r="51" spans="5:12" x14ac:dyDescent="0.25">
      <c r="E51" s="55"/>
      <c r="F51" s="55"/>
      <c r="G51" s="67"/>
      <c r="H51" s="55"/>
      <c r="I51" s="55"/>
      <c r="J51" s="64"/>
      <c r="L51" s="55"/>
    </row>
    <row r="52" spans="5:12" x14ac:dyDescent="0.25">
      <c r="E52" s="55"/>
      <c r="F52" s="55"/>
      <c r="G52" s="67"/>
      <c r="H52" s="55"/>
      <c r="I52" s="55"/>
      <c r="J52" s="64"/>
      <c r="L52" s="55"/>
    </row>
    <row r="53" spans="5:12" x14ac:dyDescent="0.25">
      <c r="E53" s="55"/>
      <c r="F53" s="55"/>
      <c r="G53" s="67"/>
      <c r="H53" s="55"/>
      <c r="I53" s="55"/>
      <c r="J53" s="64"/>
      <c r="L53" s="55"/>
    </row>
    <row r="54" spans="5:12" x14ac:dyDescent="0.25">
      <c r="E54" s="55"/>
      <c r="F54" s="55"/>
      <c r="G54" s="67"/>
      <c r="H54" s="55"/>
      <c r="I54" s="55"/>
      <c r="J54" s="64"/>
      <c r="L54" s="55"/>
    </row>
    <row r="55" spans="5:12" x14ac:dyDescent="0.25">
      <c r="E55" s="55"/>
      <c r="F55" s="55"/>
      <c r="G55" s="67"/>
      <c r="H55" s="55"/>
      <c r="I55" s="55"/>
      <c r="J55" s="64"/>
      <c r="L55" s="55"/>
    </row>
    <row r="56" spans="5:12" x14ac:dyDescent="0.25">
      <c r="E56" s="55"/>
      <c r="F56" s="55"/>
      <c r="G56" s="67"/>
      <c r="H56" s="55"/>
      <c r="I56" s="55"/>
      <c r="J56" s="64"/>
      <c r="L56" s="55"/>
    </row>
    <row r="57" spans="5:12" x14ac:dyDescent="0.25">
      <c r="E57" s="55"/>
      <c r="F57" s="55"/>
      <c r="G57" s="67"/>
      <c r="H57" s="55"/>
      <c r="I57" s="55"/>
      <c r="J57" s="64"/>
      <c r="L57" s="55"/>
    </row>
    <row r="58" spans="5:12" x14ac:dyDescent="0.25">
      <c r="E58" s="55"/>
      <c r="F58" s="55"/>
      <c r="G58" s="67"/>
      <c r="H58" s="55"/>
      <c r="I58" s="55"/>
      <c r="J58" s="64"/>
      <c r="L58" s="55"/>
    </row>
    <row r="59" spans="5:12" x14ac:dyDescent="0.25">
      <c r="E59" s="55"/>
      <c r="F59" s="55"/>
      <c r="G59" s="67"/>
      <c r="H59" s="55"/>
      <c r="I59" s="55"/>
      <c r="J59" s="64"/>
      <c r="L59" s="55"/>
    </row>
    <row r="60" spans="5:12" x14ac:dyDescent="0.25">
      <c r="E60" s="55"/>
      <c r="F60" s="55"/>
      <c r="G60" s="67"/>
      <c r="H60" s="55"/>
      <c r="I60" s="55"/>
      <c r="J60" s="64"/>
      <c r="L60" s="55"/>
    </row>
    <row r="61" spans="5:12" x14ac:dyDescent="0.25">
      <c r="E61" s="55"/>
      <c r="F61" s="55"/>
      <c r="G61" s="67"/>
      <c r="H61" s="55"/>
      <c r="I61" s="55"/>
      <c r="J61" s="64"/>
      <c r="L61" s="55"/>
    </row>
    <row r="62" spans="5:12" x14ac:dyDescent="0.25">
      <c r="E62" s="55"/>
      <c r="F62" s="55"/>
      <c r="G62" s="67"/>
      <c r="H62" s="55"/>
      <c r="I62" s="55"/>
      <c r="J62" s="64"/>
      <c r="L62" s="55"/>
    </row>
    <row r="63" spans="5:12" x14ac:dyDescent="0.25">
      <c r="E63" s="55"/>
      <c r="F63" s="55"/>
      <c r="G63" s="67"/>
      <c r="H63" s="55"/>
      <c r="I63" s="55"/>
      <c r="J63" s="64"/>
      <c r="L63" s="55"/>
    </row>
    <row r="64" spans="5:12" x14ac:dyDescent="0.25">
      <c r="E64" s="55"/>
      <c r="F64" s="55"/>
      <c r="G64" s="67"/>
      <c r="H64" s="55"/>
      <c r="I64" s="55"/>
      <c r="J64" s="64"/>
      <c r="L64" s="55"/>
    </row>
    <row r="65" spans="5:12" x14ac:dyDescent="0.25">
      <c r="E65" s="55"/>
      <c r="F65" s="55"/>
      <c r="G65" s="67"/>
      <c r="H65" s="55"/>
      <c r="I65" s="55"/>
      <c r="J65" s="64"/>
      <c r="L65" s="55"/>
    </row>
    <row r="66" spans="5:12" x14ac:dyDescent="0.25">
      <c r="E66" s="55"/>
      <c r="F66" s="55"/>
      <c r="G66" s="67"/>
      <c r="H66" s="55"/>
      <c r="I66" s="55"/>
      <c r="J66" s="64"/>
      <c r="L66" s="55"/>
    </row>
    <row r="67" spans="5:12" x14ac:dyDescent="0.25">
      <c r="E67" s="55"/>
      <c r="F67" s="55"/>
      <c r="G67" s="67"/>
      <c r="H67" s="55"/>
      <c r="I67" s="55"/>
      <c r="J67" s="64"/>
      <c r="L67" s="55"/>
    </row>
    <row r="68" spans="5:12" x14ac:dyDescent="0.25">
      <c r="E68" s="55"/>
      <c r="F68" s="55"/>
      <c r="G68" s="67"/>
      <c r="H68" s="55"/>
      <c r="I68" s="55"/>
      <c r="J68" s="64"/>
      <c r="L68" s="55"/>
    </row>
    <row r="69" spans="5:12" x14ac:dyDescent="0.25">
      <c r="E69" s="55"/>
      <c r="F69" s="55"/>
      <c r="G69" s="67"/>
      <c r="H69" s="55"/>
      <c r="I69" s="55"/>
      <c r="J69" s="64"/>
      <c r="L69" s="55"/>
    </row>
    <row r="70" spans="5:12" x14ac:dyDescent="0.25">
      <c r="E70" s="55"/>
      <c r="F70" s="55"/>
      <c r="G70" s="67"/>
      <c r="H70" s="55"/>
      <c r="I70" s="55"/>
      <c r="J70" s="64"/>
      <c r="L70" s="55"/>
    </row>
    <row r="71" spans="5:12" x14ac:dyDescent="0.25">
      <c r="E71" s="55"/>
      <c r="F71" s="55"/>
      <c r="G71" s="68"/>
      <c r="H71" s="55"/>
      <c r="I71" s="55"/>
      <c r="J71" s="64"/>
      <c r="L71" s="55"/>
    </row>
    <row r="72" spans="5:12" x14ac:dyDescent="0.25">
      <c r="E72" s="55"/>
      <c r="F72" s="55"/>
      <c r="G72" s="68"/>
      <c r="H72" s="55"/>
      <c r="I72" s="55"/>
      <c r="J72" s="64"/>
      <c r="L72" s="55"/>
    </row>
    <row r="73" spans="5:12" x14ac:dyDescent="0.25">
      <c r="E73" s="55"/>
      <c r="F73" s="55"/>
      <c r="G73" s="68"/>
      <c r="H73" s="55"/>
      <c r="I73" s="55"/>
      <c r="J73" s="64"/>
      <c r="L73" s="55"/>
    </row>
    <row r="74" spans="5:12" x14ac:dyDescent="0.25">
      <c r="E74" s="55"/>
      <c r="F74" s="55"/>
      <c r="G74" s="68"/>
      <c r="H74" s="55"/>
      <c r="I74" s="55"/>
      <c r="J74" s="64"/>
      <c r="L74" s="55"/>
    </row>
    <row r="75" spans="5:12" x14ac:dyDescent="0.25">
      <c r="E75" s="55"/>
      <c r="F75" s="55"/>
      <c r="G75" s="68"/>
      <c r="H75" s="55"/>
      <c r="I75" s="55"/>
      <c r="J75" s="64"/>
    </row>
    <row r="76" spans="5:12" x14ac:dyDescent="0.25">
      <c r="E76" s="55"/>
      <c r="F76" s="55"/>
      <c r="G76" s="65"/>
      <c r="H76" s="55"/>
      <c r="I76" s="55"/>
      <c r="J76" s="64"/>
    </row>
    <row r="77" spans="5:12" x14ac:dyDescent="0.25">
      <c r="E77" s="55"/>
      <c r="F77" s="55"/>
      <c r="G77" s="67"/>
      <c r="H77" s="55"/>
      <c r="I77" s="55"/>
      <c r="J77" s="64"/>
    </row>
    <row r="78" spans="5:12" x14ac:dyDescent="0.25">
      <c r="E78" s="55"/>
      <c r="F78" s="55"/>
      <c r="G78" s="67"/>
      <c r="H78" s="55"/>
      <c r="I78" s="55"/>
      <c r="J78" s="64"/>
    </row>
    <row r="79" spans="5:12" x14ac:dyDescent="0.25">
      <c r="E79" s="55"/>
      <c r="F79" s="55"/>
      <c r="G79" s="67"/>
      <c r="H79" s="55"/>
      <c r="I79" s="55"/>
      <c r="J79" s="64"/>
    </row>
    <row r="80" spans="5:12" x14ac:dyDescent="0.25">
      <c r="E80" s="55"/>
      <c r="F80" s="55"/>
      <c r="G80" s="67"/>
      <c r="H80" s="55"/>
      <c r="I80" s="55"/>
      <c r="J80" s="64"/>
    </row>
    <row r="81" spans="1:10" x14ac:dyDescent="0.25">
      <c r="E81" s="55"/>
      <c r="F81" s="55"/>
      <c r="G81" s="67"/>
      <c r="H81" s="55"/>
      <c r="I81" s="55"/>
      <c r="J81" s="64"/>
    </row>
    <row r="82" spans="1:10" x14ac:dyDescent="0.25">
      <c r="E82" s="55"/>
      <c r="F82" s="55"/>
      <c r="G82" s="67"/>
      <c r="H82" s="55"/>
      <c r="I82" s="55"/>
      <c r="J82" s="64"/>
    </row>
    <row r="83" spans="1:10" x14ac:dyDescent="0.25">
      <c r="E83" s="55"/>
      <c r="F83" s="55"/>
      <c r="G83" s="67"/>
      <c r="H83" s="55"/>
      <c r="I83" s="55"/>
      <c r="J83" s="64"/>
    </row>
    <row r="84" spans="1:10" x14ac:dyDescent="0.25">
      <c r="E84" s="55"/>
      <c r="F84" s="55"/>
      <c r="G84" s="67"/>
      <c r="H84" s="55"/>
      <c r="I84" s="55"/>
      <c r="J84" s="64"/>
    </row>
    <row r="85" spans="1:10" x14ac:dyDescent="0.25">
      <c r="E85" s="55"/>
      <c r="F85" s="55"/>
      <c r="G85" s="67"/>
      <c r="H85" s="55"/>
      <c r="I85" s="55"/>
      <c r="J85" s="64"/>
    </row>
    <row r="86" spans="1:10" x14ac:dyDescent="0.25">
      <c r="E86" s="55"/>
      <c r="F86" s="55"/>
      <c r="G86" s="67"/>
      <c r="H86" s="55"/>
      <c r="I86" s="55"/>
      <c r="J86" s="64"/>
    </row>
    <row r="87" spans="1:10" x14ac:dyDescent="0.25">
      <c r="E87" s="55"/>
      <c r="F87" s="55"/>
      <c r="G87" s="67"/>
      <c r="H87" s="55"/>
      <c r="I87" s="55"/>
      <c r="J87" s="64"/>
    </row>
    <row r="88" spans="1:10" x14ac:dyDescent="0.25">
      <c r="E88" s="55"/>
      <c r="F88" s="55"/>
      <c r="G88" s="67"/>
      <c r="H88" s="55"/>
      <c r="I88" s="55"/>
      <c r="J88" s="64"/>
    </row>
    <row r="89" spans="1:10" x14ac:dyDescent="0.25">
      <c r="E89" s="55"/>
      <c r="F89" s="55"/>
      <c r="G89" s="65"/>
      <c r="H89" s="55"/>
      <c r="I89" s="55"/>
      <c r="J89" s="64"/>
    </row>
    <row r="90" spans="1:10" x14ac:dyDescent="0.25">
      <c r="A90" s="70"/>
      <c r="E90" s="55"/>
      <c r="F90" s="55"/>
      <c r="G90" s="67"/>
      <c r="H90" s="55"/>
      <c r="I90" s="55"/>
      <c r="J90" s="64"/>
    </row>
    <row r="91" spans="1:10" x14ac:dyDescent="0.25">
      <c r="E91" s="55"/>
      <c r="F91" s="55"/>
      <c r="G91" s="67"/>
      <c r="H91" s="55"/>
      <c r="I91" s="55"/>
      <c r="J91" s="64"/>
    </row>
    <row r="92" spans="1:10" x14ac:dyDescent="0.25">
      <c r="E92" s="55"/>
      <c r="F92" s="55"/>
      <c r="G92" s="67"/>
      <c r="H92" s="55"/>
      <c r="I92" s="55"/>
      <c r="J92" s="64"/>
    </row>
    <row r="93" spans="1:10" x14ac:dyDescent="0.25">
      <c r="E93" s="55"/>
      <c r="F93" s="55"/>
      <c r="G93" s="67"/>
      <c r="H93" s="55"/>
      <c r="I93" s="55"/>
      <c r="J93" s="64"/>
    </row>
    <row r="94" spans="1:10" x14ac:dyDescent="0.25">
      <c r="E94" s="55"/>
      <c r="F94" s="55"/>
      <c r="G94" s="67"/>
      <c r="H94" s="55"/>
      <c r="I94" s="55"/>
      <c r="J94" s="64"/>
    </row>
    <row r="95" spans="1:10" x14ac:dyDescent="0.25">
      <c r="E95" s="55"/>
      <c r="F95" s="55"/>
      <c r="G95" s="67"/>
      <c r="H95" s="55"/>
      <c r="I95" s="55"/>
      <c r="J95" s="64"/>
    </row>
    <row r="96" spans="1:10" x14ac:dyDescent="0.25">
      <c r="E96" s="55"/>
      <c r="F96" s="55"/>
      <c r="G96" s="67"/>
      <c r="H96" s="55"/>
      <c r="I96" s="55"/>
      <c r="J96" s="64"/>
    </row>
    <row r="97" spans="5:10" x14ac:dyDescent="0.25">
      <c r="E97" s="55"/>
      <c r="F97" s="55"/>
      <c r="G97" s="67"/>
      <c r="H97" s="55"/>
      <c r="I97" s="55"/>
      <c r="J97" s="64"/>
    </row>
    <row r="98" spans="5:10" x14ac:dyDescent="0.25">
      <c r="E98" s="55"/>
      <c r="F98" s="55"/>
      <c r="G98" s="67"/>
      <c r="H98" s="55"/>
      <c r="I98" s="55"/>
      <c r="J98" s="64"/>
    </row>
    <row r="99" spans="5:10" x14ac:dyDescent="0.25">
      <c r="E99" s="55"/>
      <c r="F99" s="55"/>
      <c r="G99" s="67"/>
      <c r="H99" s="55"/>
      <c r="I99" s="55"/>
      <c r="J99" s="64"/>
    </row>
    <row r="100" spans="5:10" x14ac:dyDescent="0.25">
      <c r="E100" s="55"/>
      <c r="F100" s="55"/>
      <c r="G100" s="67"/>
      <c r="H100" s="55"/>
      <c r="I100" s="55"/>
      <c r="J100" s="64"/>
    </row>
    <row r="101" spans="5:10" x14ac:dyDescent="0.25">
      <c r="E101" s="55"/>
      <c r="F101" s="55"/>
      <c r="G101" s="67"/>
      <c r="H101" s="55"/>
      <c r="I101" s="55"/>
      <c r="J101" s="64"/>
    </row>
    <row r="102" spans="5:10" x14ac:dyDescent="0.25">
      <c r="E102" s="55"/>
      <c r="F102" s="55"/>
      <c r="G102" s="67"/>
      <c r="H102" s="55"/>
      <c r="I102" s="55"/>
      <c r="J102" s="64"/>
    </row>
    <row r="103" spans="5:10" x14ac:dyDescent="0.25">
      <c r="E103" s="55"/>
      <c r="F103" s="55"/>
      <c r="G103" s="67"/>
      <c r="H103" s="55"/>
      <c r="I103" s="55"/>
      <c r="J103" s="64"/>
    </row>
    <row r="104" spans="5:10" x14ac:dyDescent="0.25">
      <c r="E104" s="55"/>
      <c r="F104" s="55"/>
      <c r="G104" s="67"/>
      <c r="H104" s="55"/>
      <c r="I104" s="55"/>
      <c r="J104" s="64"/>
    </row>
    <row r="105" spans="5:10" x14ac:dyDescent="0.25">
      <c r="E105" s="55"/>
      <c r="F105" s="55"/>
      <c r="G105" s="67"/>
      <c r="H105" s="55"/>
      <c r="I105" s="55"/>
      <c r="J105" s="64"/>
    </row>
    <row r="106" spans="5:10" x14ac:dyDescent="0.25">
      <c r="E106" s="55"/>
      <c r="F106" s="55"/>
      <c r="G106" s="67"/>
      <c r="H106" s="55"/>
      <c r="I106" s="55"/>
      <c r="J106" s="64"/>
    </row>
    <row r="107" spans="5:10" x14ac:dyDescent="0.25">
      <c r="E107" s="55"/>
      <c r="F107" s="55"/>
      <c r="G107" s="67"/>
      <c r="H107" s="55"/>
      <c r="I107" s="55"/>
      <c r="J107" s="64"/>
    </row>
    <row r="108" spans="5:10" x14ac:dyDescent="0.25">
      <c r="E108" s="55"/>
      <c r="F108" s="55"/>
      <c r="G108" s="65"/>
      <c r="H108" s="55"/>
      <c r="I108" s="55"/>
      <c r="J108" s="64"/>
    </row>
    <row r="109" spans="5:10" x14ac:dyDescent="0.25">
      <c r="E109" s="55"/>
      <c r="F109" s="55"/>
      <c r="G109" s="65"/>
      <c r="H109" s="55"/>
      <c r="I109" s="55"/>
      <c r="J109" s="64"/>
    </row>
    <row r="110" spans="5:10" x14ac:dyDescent="0.25">
      <c r="E110" s="55"/>
      <c r="F110" s="55"/>
      <c r="G110" s="65"/>
      <c r="H110" s="55"/>
      <c r="I110" s="55"/>
      <c r="J110" s="64"/>
    </row>
    <row r="111" spans="5:10" x14ac:dyDescent="0.25">
      <c r="E111" s="55"/>
      <c r="F111" s="55"/>
      <c r="G111" s="65"/>
      <c r="H111" s="55"/>
      <c r="I111" s="55"/>
      <c r="J111" s="64"/>
    </row>
    <row r="112" spans="5:10" x14ac:dyDescent="0.25">
      <c r="E112" s="55"/>
      <c r="F112" s="55"/>
      <c r="G112" s="68"/>
      <c r="H112" s="55"/>
      <c r="I112" s="55"/>
      <c r="J112" s="64"/>
    </row>
    <row r="113" spans="5:10" x14ac:dyDescent="0.25">
      <c r="E113" s="55"/>
      <c r="F113" s="55"/>
      <c r="G113" s="68"/>
      <c r="H113" s="55"/>
      <c r="I113" s="55"/>
      <c r="J113" s="64"/>
    </row>
    <row r="114" spans="5:10" x14ac:dyDescent="0.25">
      <c r="E114" s="55"/>
      <c r="F114" s="55"/>
      <c r="G114" s="68"/>
      <c r="H114" s="55"/>
      <c r="I114" s="55"/>
      <c r="J114" s="64"/>
    </row>
    <row r="115" spans="5:10" x14ac:dyDescent="0.25">
      <c r="E115" s="55"/>
      <c r="F115" s="55"/>
      <c r="G115" s="67"/>
      <c r="H115" s="55"/>
      <c r="I115" s="55"/>
      <c r="J115" s="64"/>
    </row>
    <row r="116" spans="5:10" x14ac:dyDescent="0.25">
      <c r="E116" s="55"/>
      <c r="F116" s="55"/>
      <c r="G116" s="67"/>
      <c r="H116" s="55"/>
      <c r="I116" s="55"/>
      <c r="J116" s="64"/>
    </row>
    <row r="117" spans="5:10" x14ac:dyDescent="0.25">
      <c r="E117" s="55"/>
      <c r="F117" s="55"/>
      <c r="G117" s="67"/>
      <c r="H117" s="55"/>
      <c r="I117" s="55"/>
      <c r="J117" s="64"/>
    </row>
    <row r="118" spans="5:10" x14ac:dyDescent="0.25">
      <c r="E118" s="55"/>
      <c r="F118" s="55"/>
      <c r="G118" s="65"/>
      <c r="H118" s="55"/>
      <c r="I118" s="55"/>
      <c r="J118" s="64"/>
    </row>
    <row r="119" spans="5:10" x14ac:dyDescent="0.25">
      <c r="E119" s="55"/>
      <c r="F119" s="55"/>
      <c r="G119" s="65"/>
      <c r="H119" s="55"/>
      <c r="I119" s="55"/>
      <c r="J119" s="64"/>
    </row>
    <row r="120" spans="5:10" x14ac:dyDescent="0.25">
      <c r="E120" s="55"/>
      <c r="F120" s="55"/>
      <c r="G120" s="65"/>
      <c r="H120" s="55"/>
      <c r="I120" s="55"/>
      <c r="J120" s="64"/>
    </row>
    <row r="121" spans="5:10" x14ac:dyDescent="0.25">
      <c r="E121" s="55"/>
      <c r="F121" s="55"/>
      <c r="G121" s="65"/>
      <c r="H121" s="55"/>
      <c r="I121" s="55"/>
      <c r="J121" s="64"/>
    </row>
    <row r="122" spans="5:10" x14ac:dyDescent="0.25">
      <c r="E122" s="55"/>
      <c r="F122" s="55"/>
      <c r="G122" s="68"/>
      <c r="H122" s="55"/>
      <c r="I122" s="55"/>
      <c r="J122" s="64"/>
    </row>
    <row r="123" spans="5:10" x14ac:dyDescent="0.25">
      <c r="E123" s="55"/>
      <c r="F123" s="55"/>
      <c r="G123" s="68"/>
      <c r="H123" s="55"/>
      <c r="I123" s="55"/>
      <c r="J123" s="64"/>
    </row>
    <row r="124" spans="5:10" x14ac:dyDescent="0.25">
      <c r="E124" s="55"/>
      <c r="F124" s="55"/>
      <c r="G124" s="68"/>
      <c r="H124" s="55"/>
      <c r="I124" s="55"/>
      <c r="J124" s="64"/>
    </row>
    <row r="125" spans="5:10" x14ac:dyDescent="0.25">
      <c r="E125" s="55"/>
      <c r="F125" s="55"/>
      <c r="G125" s="68"/>
      <c r="H125" s="55"/>
      <c r="I125" s="55"/>
      <c r="J125" s="64"/>
    </row>
    <row r="126" spans="5:10" x14ac:dyDescent="0.25">
      <c r="E126" s="55"/>
      <c r="F126" s="55"/>
      <c r="G126" s="68"/>
      <c r="H126" s="55"/>
      <c r="I126" s="55"/>
      <c r="J126" s="64"/>
    </row>
    <row r="127" spans="5:10" x14ac:dyDescent="0.25">
      <c r="E127" s="55"/>
      <c r="F127" s="55"/>
      <c r="G127" s="67"/>
      <c r="H127" s="55"/>
      <c r="I127" s="55"/>
      <c r="J127" s="64"/>
    </row>
    <row r="128" spans="5:10" x14ac:dyDescent="0.25">
      <c r="E128" s="55"/>
      <c r="F128" s="55"/>
      <c r="G128" s="67"/>
      <c r="H128" s="55"/>
      <c r="I128" s="55"/>
      <c r="J128" s="64"/>
    </row>
    <row r="129" spans="5:10" x14ac:dyDescent="0.25">
      <c r="E129" s="55"/>
      <c r="F129" s="55"/>
      <c r="G129" s="67"/>
      <c r="H129" s="55"/>
      <c r="I129" s="55"/>
      <c r="J129" s="64"/>
    </row>
    <row r="130" spans="5:10" x14ac:dyDescent="0.25">
      <c r="E130" s="55"/>
      <c r="F130" s="55"/>
      <c r="G130" s="65"/>
      <c r="H130" s="55"/>
      <c r="I130" s="55"/>
      <c r="J130" s="64"/>
    </row>
    <row r="131" spans="5:10" x14ac:dyDescent="0.25">
      <c r="E131" s="55"/>
      <c r="F131" s="55"/>
      <c r="G131" s="65"/>
      <c r="H131" s="55"/>
      <c r="I131" s="55"/>
      <c r="J131" s="64"/>
    </row>
    <row r="132" spans="5:10" x14ac:dyDescent="0.25">
      <c r="E132" s="55"/>
      <c r="F132" s="55"/>
      <c r="G132" s="65"/>
      <c r="H132" s="55"/>
      <c r="I132" s="55"/>
      <c r="J132" s="64"/>
    </row>
    <row r="133" spans="5:10" x14ac:dyDescent="0.25">
      <c r="E133" s="55"/>
      <c r="F133" s="55"/>
      <c r="G133" s="67"/>
      <c r="H133" s="55"/>
      <c r="I133" s="55"/>
      <c r="J133" s="64"/>
    </row>
    <row r="134" spans="5:10" x14ac:dyDescent="0.25">
      <c r="E134" s="55"/>
      <c r="F134" s="55"/>
      <c r="G134" s="67"/>
      <c r="H134" s="55"/>
      <c r="I134" s="55"/>
      <c r="J134" s="64"/>
    </row>
    <row r="135" spans="5:10" x14ac:dyDescent="0.25">
      <c r="E135" s="55"/>
      <c r="F135" s="55"/>
      <c r="G135" s="67"/>
      <c r="H135" s="55"/>
      <c r="I135" s="55"/>
      <c r="J135" s="64"/>
    </row>
    <row r="136" spans="5:10" x14ac:dyDescent="0.25">
      <c r="E136" s="55"/>
      <c r="F136" s="55"/>
      <c r="G136" s="67"/>
      <c r="H136" s="55"/>
      <c r="I136" s="55"/>
      <c r="J136" s="64"/>
    </row>
    <row r="137" spans="5:10" x14ac:dyDescent="0.25">
      <c r="E137" s="55"/>
      <c r="F137" s="55"/>
      <c r="G137" s="67"/>
      <c r="H137" s="55"/>
      <c r="I137" s="55"/>
      <c r="J137" s="64"/>
    </row>
    <row r="138" spans="5:10" x14ac:dyDescent="0.25">
      <c r="E138" s="55"/>
      <c r="F138" s="55"/>
      <c r="G138" s="67"/>
      <c r="H138" s="55"/>
      <c r="I138" s="55"/>
      <c r="J138" s="64"/>
    </row>
    <row r="139" spans="5:10" x14ac:dyDescent="0.25">
      <c r="E139" s="55"/>
      <c r="F139" s="55"/>
      <c r="G139" s="67"/>
      <c r="H139" s="55"/>
      <c r="I139" s="55"/>
      <c r="J139" s="64"/>
    </row>
    <row r="140" spans="5:10" x14ac:dyDescent="0.25">
      <c r="E140" s="55"/>
      <c r="F140" s="55"/>
      <c r="G140" s="67"/>
      <c r="H140" s="55"/>
      <c r="I140" s="55"/>
      <c r="J140" s="64"/>
    </row>
    <row r="141" spans="5:10" x14ac:dyDescent="0.25">
      <c r="E141" s="55"/>
      <c r="F141" s="55"/>
      <c r="G141" s="67"/>
      <c r="H141" s="55"/>
      <c r="I141" s="55"/>
      <c r="J141" s="64"/>
    </row>
    <row r="142" spans="5:10" x14ac:dyDescent="0.25">
      <c r="E142" s="55"/>
      <c r="F142" s="55"/>
      <c r="G142" s="67"/>
      <c r="H142" s="55"/>
      <c r="I142" s="55"/>
      <c r="J142" s="64"/>
    </row>
    <row r="143" spans="5:10" x14ac:dyDescent="0.25">
      <c r="E143" s="55"/>
      <c r="F143" s="55"/>
      <c r="G143" s="67"/>
      <c r="H143" s="55"/>
      <c r="I143" s="55"/>
      <c r="J143" s="64"/>
    </row>
    <row r="144" spans="5:10" x14ac:dyDescent="0.25">
      <c r="E144" s="55"/>
      <c r="F144" s="55"/>
      <c r="G144" s="67"/>
      <c r="H144" s="55"/>
      <c r="I144" s="55"/>
      <c r="J144" s="64"/>
    </row>
    <row r="145" spans="5:10" x14ac:dyDescent="0.25">
      <c r="E145" s="55"/>
      <c r="F145" s="55"/>
      <c r="G145" s="67"/>
      <c r="H145" s="55"/>
      <c r="I145" s="55"/>
      <c r="J145" s="64"/>
    </row>
    <row r="146" spans="5:10" x14ac:dyDescent="0.25">
      <c r="E146" s="55"/>
      <c r="F146" s="55"/>
      <c r="G146" s="67"/>
      <c r="H146" s="55"/>
      <c r="I146" s="55"/>
      <c r="J146" s="64"/>
    </row>
    <row r="147" spans="5:10" x14ac:dyDescent="0.25">
      <c r="E147" s="55"/>
      <c r="F147" s="55"/>
      <c r="G147" s="68"/>
      <c r="H147" s="55"/>
      <c r="I147" s="55"/>
      <c r="J147" s="64"/>
    </row>
    <row r="148" spans="5:10" x14ac:dyDescent="0.25">
      <c r="E148" s="55"/>
      <c r="F148" s="55"/>
      <c r="G148" s="68"/>
      <c r="H148" s="55"/>
      <c r="I148" s="55"/>
      <c r="J148" s="64"/>
    </row>
    <row r="149" spans="5:10" x14ac:dyDescent="0.25">
      <c r="E149" s="55"/>
      <c r="F149" s="55"/>
      <c r="G149" s="68"/>
      <c r="H149" s="55"/>
      <c r="I149" s="55"/>
      <c r="J149" s="64"/>
    </row>
    <row r="150" spans="5:10" x14ac:dyDescent="0.25">
      <c r="E150" s="55"/>
      <c r="F150" s="55"/>
      <c r="G150" s="68"/>
      <c r="H150" s="55"/>
      <c r="I150" s="55"/>
      <c r="J150" s="64"/>
    </row>
    <row r="151" spans="5:10" x14ac:dyDescent="0.25">
      <c r="E151" s="55"/>
      <c r="F151" s="55"/>
      <c r="G151" s="68"/>
      <c r="H151" s="55"/>
      <c r="I151" s="55"/>
      <c r="J151" s="64"/>
    </row>
    <row r="152" spans="5:10" x14ac:dyDescent="0.25">
      <c r="E152" s="55"/>
      <c r="F152" s="55"/>
      <c r="G152" s="68"/>
      <c r="H152" s="55"/>
      <c r="I152" s="55"/>
      <c r="J152" s="64"/>
    </row>
    <row r="153" spans="5:10" x14ac:dyDescent="0.25">
      <c r="E153" s="55"/>
      <c r="F153" s="55"/>
      <c r="G153" s="67"/>
      <c r="H153" s="55"/>
      <c r="I153" s="55"/>
      <c r="J153" s="64"/>
    </row>
    <row r="154" spans="5:10" x14ac:dyDescent="0.25">
      <c r="E154" s="55"/>
      <c r="F154" s="55"/>
      <c r="G154" s="67"/>
      <c r="H154" s="55"/>
      <c r="I154" s="55"/>
      <c r="J154" s="64"/>
    </row>
    <row r="155" spans="5:10" x14ac:dyDescent="0.25">
      <c r="E155" s="55"/>
      <c r="F155" s="55"/>
      <c r="G155" s="67"/>
      <c r="H155" s="55"/>
      <c r="I155" s="55"/>
      <c r="J155" s="64"/>
    </row>
    <row r="156" spans="5:10" x14ac:dyDescent="0.25">
      <c r="E156" s="55"/>
      <c r="F156" s="55"/>
      <c r="G156" s="67"/>
      <c r="H156" s="55"/>
      <c r="I156" s="55"/>
      <c r="J156" s="64"/>
    </row>
    <row r="157" spans="5:10" x14ac:dyDescent="0.25">
      <c r="E157" s="55"/>
      <c r="F157" s="55"/>
      <c r="G157" s="67"/>
      <c r="H157" s="55"/>
      <c r="I157" s="55"/>
      <c r="J157" s="64"/>
    </row>
    <row r="158" spans="5:10" x14ac:dyDescent="0.25">
      <c r="E158" s="55"/>
      <c r="F158" s="55"/>
      <c r="G158" s="67"/>
      <c r="H158" s="55"/>
      <c r="I158" s="55"/>
      <c r="J158" s="64"/>
    </row>
    <row r="159" spans="5:10" x14ac:dyDescent="0.25">
      <c r="E159" s="55"/>
      <c r="F159" s="55"/>
      <c r="G159" s="67"/>
      <c r="H159" s="55"/>
      <c r="I159" s="55"/>
      <c r="J159" s="64"/>
    </row>
    <row r="160" spans="5:10" x14ac:dyDescent="0.25">
      <c r="E160" s="55"/>
      <c r="F160" s="55"/>
      <c r="G160" s="67"/>
      <c r="H160" s="55"/>
      <c r="I160" s="55"/>
      <c r="J160" s="64"/>
    </row>
    <row r="161" spans="5:10" x14ac:dyDescent="0.25">
      <c r="E161" s="55"/>
      <c r="F161" s="55"/>
      <c r="G161" s="67"/>
      <c r="H161" s="55"/>
      <c r="I161" s="55"/>
      <c r="J161" s="64"/>
    </row>
    <row r="162" spans="5:10" x14ac:dyDescent="0.25">
      <c r="E162" s="55"/>
      <c r="F162" s="55"/>
      <c r="G162" s="67"/>
      <c r="H162" s="55"/>
      <c r="I162" s="55"/>
      <c r="J162" s="64"/>
    </row>
    <row r="163" spans="5:10" x14ac:dyDescent="0.25">
      <c r="E163" s="55"/>
      <c r="F163" s="55"/>
      <c r="G163" s="67"/>
      <c r="H163" s="55"/>
      <c r="I163" s="55"/>
      <c r="J163" s="64"/>
    </row>
    <row r="164" spans="5:10" x14ac:dyDescent="0.25">
      <c r="E164" s="55"/>
      <c r="F164" s="55"/>
      <c r="G164" s="67"/>
      <c r="H164" s="55"/>
      <c r="I164" s="55"/>
      <c r="J164" s="64"/>
    </row>
    <row r="165" spans="5:10" x14ac:dyDescent="0.25">
      <c r="E165" s="55"/>
      <c r="F165" s="55"/>
      <c r="G165" s="67"/>
      <c r="H165" s="55"/>
      <c r="I165" s="55"/>
      <c r="J165" s="64"/>
    </row>
    <row r="166" spans="5:10" x14ac:dyDescent="0.25">
      <c r="E166" s="55"/>
      <c r="F166" s="55"/>
      <c r="G166" s="67"/>
      <c r="H166" s="55"/>
      <c r="I166" s="55"/>
      <c r="J166" s="64"/>
    </row>
    <row r="167" spans="5:10" x14ac:dyDescent="0.25">
      <c r="E167" s="55"/>
      <c r="F167" s="55"/>
      <c r="G167" s="67"/>
      <c r="H167" s="55"/>
      <c r="I167" s="55"/>
      <c r="J167" s="64"/>
    </row>
    <row r="168" spans="5:10" x14ac:dyDescent="0.25">
      <c r="E168" s="55"/>
      <c r="F168" s="55"/>
      <c r="G168" s="67"/>
      <c r="H168" s="55"/>
      <c r="I168" s="55"/>
      <c r="J168" s="64"/>
    </row>
    <row r="169" spans="5:10" x14ac:dyDescent="0.25">
      <c r="E169" s="55"/>
      <c r="F169" s="55"/>
      <c r="G169" s="67"/>
      <c r="H169" s="55"/>
      <c r="I169" s="55"/>
      <c r="J169" s="64"/>
    </row>
    <row r="170" spans="5:10" x14ac:dyDescent="0.25">
      <c r="E170" s="55"/>
      <c r="F170" s="55"/>
      <c r="G170" s="67"/>
      <c r="H170" s="55"/>
      <c r="I170" s="55"/>
      <c r="J170" s="64"/>
    </row>
    <row r="171" spans="5:10" x14ac:dyDescent="0.25">
      <c r="E171" s="55"/>
      <c r="F171" s="55"/>
      <c r="G171" s="67"/>
      <c r="H171" s="55"/>
      <c r="I171" s="55"/>
      <c r="J171" s="64"/>
    </row>
    <row r="172" spans="5:10" x14ac:dyDescent="0.25">
      <c r="E172" s="55"/>
      <c r="F172" s="55"/>
      <c r="G172" s="67"/>
      <c r="H172" s="55"/>
      <c r="I172" s="55"/>
      <c r="J172" s="64"/>
    </row>
    <row r="173" spans="5:10" x14ac:dyDescent="0.25">
      <c r="E173" s="55"/>
      <c r="F173" s="55"/>
      <c r="G173" s="67"/>
      <c r="H173" s="55"/>
      <c r="I173" s="55"/>
      <c r="J173" s="64"/>
    </row>
    <row r="174" spans="5:10" x14ac:dyDescent="0.25">
      <c r="E174" s="55"/>
      <c r="F174" s="55"/>
      <c r="G174" s="65"/>
      <c r="H174" s="55"/>
      <c r="I174" s="55"/>
      <c r="J174" s="64"/>
    </row>
    <row r="175" spans="5:10" x14ac:dyDescent="0.25">
      <c r="E175" s="55"/>
      <c r="F175" s="55"/>
      <c r="G175" s="65"/>
      <c r="H175" s="55"/>
      <c r="I175" s="55"/>
      <c r="J175" s="64"/>
    </row>
    <row r="176" spans="5:10" x14ac:dyDescent="0.25">
      <c r="E176" s="55"/>
      <c r="F176" s="55"/>
      <c r="G176" s="65"/>
      <c r="H176" s="55"/>
      <c r="I176" s="55"/>
      <c r="J176" s="64"/>
    </row>
    <row r="177" spans="5:10" x14ac:dyDescent="0.25">
      <c r="E177" s="55"/>
      <c r="F177" s="55"/>
      <c r="G177" s="65"/>
      <c r="H177" s="55"/>
      <c r="I177" s="55"/>
      <c r="J177" s="64"/>
    </row>
    <row r="178" spans="5:10" x14ac:dyDescent="0.25">
      <c r="E178" s="55"/>
      <c r="F178" s="55"/>
      <c r="G178" s="67"/>
      <c r="H178" s="55"/>
      <c r="I178" s="55"/>
      <c r="J178" s="64"/>
    </row>
    <row r="179" spans="5:10" x14ac:dyDescent="0.25">
      <c r="E179" s="55"/>
      <c r="F179" s="55"/>
      <c r="G179" s="67"/>
      <c r="H179" s="55"/>
      <c r="I179" s="55"/>
      <c r="J179" s="64"/>
    </row>
    <row r="180" spans="5:10" x14ac:dyDescent="0.25">
      <c r="E180" s="55"/>
      <c r="F180" s="55"/>
      <c r="G180" s="67"/>
      <c r="H180" s="55"/>
      <c r="I180" s="55"/>
      <c r="J180" s="64"/>
    </row>
    <row r="181" spans="5:10" x14ac:dyDescent="0.25">
      <c r="E181" s="55"/>
      <c r="F181" s="55"/>
      <c r="G181" s="67"/>
      <c r="H181" s="55"/>
      <c r="I181" s="55"/>
      <c r="J181" s="64"/>
    </row>
    <row r="182" spans="5:10" x14ac:dyDescent="0.25">
      <c r="E182" s="55"/>
      <c r="F182" s="55"/>
      <c r="G182" s="67"/>
      <c r="H182" s="55"/>
      <c r="I182" s="55"/>
      <c r="J182" s="64"/>
    </row>
    <row r="183" spans="5:10" x14ac:dyDescent="0.25">
      <c r="E183" s="55"/>
      <c r="F183" s="55"/>
      <c r="G183" s="67"/>
      <c r="H183" s="55"/>
      <c r="I183" s="55"/>
      <c r="J183" s="64"/>
    </row>
    <row r="184" spans="5:10" x14ac:dyDescent="0.25">
      <c r="E184" s="55"/>
      <c r="F184" s="55"/>
      <c r="G184" s="67"/>
      <c r="H184" s="55"/>
      <c r="I184" s="55"/>
      <c r="J184" s="64"/>
    </row>
    <row r="185" spans="5:10" x14ac:dyDescent="0.25">
      <c r="E185" s="55"/>
      <c r="F185" s="55"/>
      <c r="G185" s="67"/>
      <c r="H185" s="55"/>
      <c r="I185" s="55"/>
      <c r="J185" s="64"/>
    </row>
    <row r="186" spans="5:10" x14ac:dyDescent="0.25">
      <c r="E186" s="55"/>
      <c r="F186" s="55"/>
      <c r="G186" s="67"/>
      <c r="H186" s="55"/>
      <c r="I186" s="55"/>
      <c r="J186" s="64"/>
    </row>
    <row r="187" spans="5:10" x14ac:dyDescent="0.25">
      <c r="E187" s="55"/>
      <c r="F187" s="55"/>
      <c r="G187" s="67"/>
      <c r="H187" s="55"/>
      <c r="I187" s="55"/>
      <c r="J187" s="64"/>
    </row>
    <row r="188" spans="5:10" x14ac:dyDescent="0.25">
      <c r="E188" s="55"/>
      <c r="F188" s="55"/>
      <c r="G188" s="67"/>
      <c r="H188" s="55"/>
      <c r="I188" s="55"/>
      <c r="J188" s="64"/>
    </row>
    <row r="189" spans="5:10" x14ac:dyDescent="0.25">
      <c r="E189" s="55"/>
      <c r="F189" s="55"/>
      <c r="G189" s="67"/>
      <c r="H189" s="55"/>
      <c r="I189" s="55"/>
      <c r="J189" s="64"/>
    </row>
    <row r="190" spans="5:10" x14ac:dyDescent="0.25">
      <c r="E190" s="55"/>
      <c r="F190" s="55"/>
      <c r="G190" s="67"/>
      <c r="H190" s="55"/>
      <c r="I190" s="55"/>
      <c r="J190" s="64"/>
    </row>
    <row r="191" spans="5:10" x14ac:dyDescent="0.25">
      <c r="E191" s="55"/>
      <c r="F191" s="55"/>
      <c r="G191" s="67"/>
      <c r="H191" s="55"/>
      <c r="I191" s="55"/>
      <c r="J191" s="64"/>
    </row>
    <row r="192" spans="5:10" x14ac:dyDescent="0.25">
      <c r="E192" s="55"/>
      <c r="F192" s="55"/>
      <c r="G192" s="67"/>
      <c r="H192" s="55"/>
      <c r="I192" s="55"/>
      <c r="J192" s="64"/>
    </row>
    <row r="193" spans="5:10" x14ac:dyDescent="0.25">
      <c r="E193" s="55"/>
      <c r="F193" s="55"/>
      <c r="G193" s="67"/>
      <c r="H193" s="55"/>
      <c r="I193" s="55"/>
      <c r="J193" s="64"/>
    </row>
    <row r="194" spans="5:10" x14ac:dyDescent="0.25">
      <c r="E194" s="55"/>
      <c r="F194" s="55"/>
      <c r="G194" s="67"/>
      <c r="H194" s="55"/>
      <c r="I194" s="55"/>
      <c r="J194" s="64"/>
    </row>
    <row r="195" spans="5:10" x14ac:dyDescent="0.25">
      <c r="E195" s="55"/>
      <c r="F195" s="55"/>
      <c r="G195" s="67"/>
      <c r="H195" s="55"/>
      <c r="I195" s="55"/>
      <c r="J195" s="64"/>
    </row>
    <row r="196" spans="5:10" x14ac:dyDescent="0.25">
      <c r="E196" s="55"/>
      <c r="F196" s="55"/>
      <c r="G196" s="67"/>
      <c r="H196" s="55"/>
      <c r="I196" s="55"/>
      <c r="J196" s="64"/>
    </row>
    <row r="197" spans="5:10" x14ac:dyDescent="0.25">
      <c r="E197" s="55"/>
      <c r="F197" s="55"/>
      <c r="G197" s="67"/>
      <c r="H197" s="55"/>
      <c r="I197" s="55"/>
      <c r="J197" s="64"/>
    </row>
    <row r="198" spans="5:10" x14ac:dyDescent="0.25">
      <c r="E198" s="55"/>
      <c r="F198" s="55"/>
      <c r="G198" s="67"/>
      <c r="H198" s="55"/>
      <c r="I198" s="55"/>
      <c r="J198" s="64"/>
    </row>
    <row r="199" spans="5:10" x14ac:dyDescent="0.25">
      <c r="E199" s="55"/>
      <c r="F199" s="55"/>
      <c r="G199" s="65"/>
      <c r="H199" s="55"/>
      <c r="I199" s="55"/>
      <c r="J199" s="64"/>
    </row>
    <row r="200" spans="5:10" x14ac:dyDescent="0.25">
      <c r="E200" s="55"/>
      <c r="F200" s="55"/>
      <c r="G200" s="65"/>
      <c r="H200" s="55"/>
      <c r="I200" s="55"/>
      <c r="J200" s="64"/>
    </row>
    <row r="201" spans="5:10" x14ac:dyDescent="0.25">
      <c r="E201" s="55"/>
      <c r="F201" s="55"/>
      <c r="G201" s="65"/>
      <c r="H201" s="55"/>
      <c r="I201" s="55"/>
      <c r="J201" s="64"/>
    </row>
    <row r="202" spans="5:10" x14ac:dyDescent="0.25">
      <c r="E202" s="55"/>
      <c r="F202" s="55"/>
      <c r="G202" s="65"/>
      <c r="H202" s="55"/>
      <c r="I202" s="55"/>
      <c r="J202" s="64"/>
    </row>
    <row r="203" spans="5:10" x14ac:dyDescent="0.25">
      <c r="E203" s="55"/>
      <c r="F203" s="55"/>
      <c r="G203" s="65"/>
      <c r="H203" s="55"/>
      <c r="I203" s="55"/>
      <c r="J203" s="64"/>
    </row>
    <row r="204" spans="5:10" x14ac:dyDescent="0.25">
      <c r="E204" s="55"/>
      <c r="F204" s="55"/>
      <c r="G204" s="65"/>
      <c r="H204" s="55"/>
      <c r="I204" s="55"/>
      <c r="J204" s="64"/>
    </row>
    <row r="205" spans="5:10" x14ac:dyDescent="0.25">
      <c r="E205" s="55"/>
      <c r="F205" s="55"/>
      <c r="G205" s="65"/>
      <c r="H205" s="55"/>
      <c r="I205" s="55"/>
      <c r="J205" s="64"/>
    </row>
    <row r="206" spans="5:10" x14ac:dyDescent="0.25">
      <c r="E206" s="55"/>
      <c r="F206" s="55"/>
      <c r="G206" s="66"/>
      <c r="H206" s="55"/>
      <c r="I206" s="55"/>
      <c r="J206" s="64"/>
    </row>
    <row r="207" spans="5:10" x14ac:dyDescent="0.25">
      <c r="E207" s="55"/>
      <c r="F207" s="55"/>
      <c r="G207" s="68"/>
      <c r="H207" s="55"/>
      <c r="I207" s="55"/>
      <c r="J207" s="64"/>
    </row>
    <row r="208" spans="5:10" x14ac:dyDescent="0.25">
      <c r="E208" s="55"/>
      <c r="F208" s="55"/>
      <c r="G208" s="68"/>
      <c r="H208" s="55"/>
      <c r="I208" s="55"/>
      <c r="J208" s="64"/>
    </row>
    <row r="209" spans="5:10" x14ac:dyDescent="0.25">
      <c r="E209" s="55"/>
      <c r="F209" s="55"/>
      <c r="G209" s="68"/>
      <c r="H209" s="55"/>
      <c r="I209" s="55"/>
      <c r="J209" s="64"/>
    </row>
    <row r="210" spans="5:10" x14ac:dyDescent="0.25">
      <c r="E210" s="55"/>
      <c r="F210" s="55"/>
      <c r="G210" s="68"/>
      <c r="H210" s="55"/>
      <c r="I210" s="55"/>
      <c r="J210" s="64"/>
    </row>
    <row r="211" spans="5:10" x14ac:dyDescent="0.25">
      <c r="E211" s="55"/>
      <c r="F211" s="55"/>
      <c r="G211" s="68"/>
      <c r="H211" s="55"/>
      <c r="I211" s="55"/>
      <c r="J211" s="64"/>
    </row>
    <row r="212" spans="5:10" x14ac:dyDescent="0.25">
      <c r="E212" s="55"/>
      <c r="F212" s="55"/>
      <c r="G212" s="68"/>
      <c r="H212" s="55"/>
      <c r="I212" s="55"/>
      <c r="J212" s="64"/>
    </row>
    <row r="213" spans="5:10" x14ac:dyDescent="0.25">
      <c r="E213" s="55"/>
      <c r="F213" s="55"/>
      <c r="G213" s="68"/>
      <c r="H213" s="55"/>
      <c r="I213" s="55"/>
      <c r="J213" s="64"/>
    </row>
    <row r="214" spans="5:10" x14ac:dyDescent="0.25">
      <c r="E214" s="55"/>
      <c r="F214" s="55"/>
      <c r="G214" s="68"/>
      <c r="H214" s="55"/>
      <c r="I214" s="55"/>
      <c r="J214" s="64"/>
    </row>
    <row r="215" spans="5:10" x14ac:dyDescent="0.25">
      <c r="E215" s="55"/>
      <c r="F215" s="55"/>
      <c r="G215" s="68"/>
      <c r="H215" s="55"/>
      <c r="I215" s="55"/>
      <c r="J215" s="64"/>
    </row>
    <row r="216" spans="5:10" x14ac:dyDescent="0.25">
      <c r="E216" s="55"/>
      <c r="F216" s="55"/>
      <c r="G216" s="68"/>
      <c r="H216" s="55"/>
      <c r="I216" s="55"/>
      <c r="J216" s="64"/>
    </row>
    <row r="217" spans="5:10" x14ac:dyDescent="0.25">
      <c r="E217" s="55"/>
      <c r="F217" s="55"/>
      <c r="G217" s="66"/>
      <c r="H217" s="55"/>
      <c r="I217" s="55"/>
      <c r="J217" s="64"/>
    </row>
    <row r="218" spans="5:10" x14ac:dyDescent="0.25">
      <c r="E218" s="55"/>
      <c r="F218" s="55"/>
      <c r="G218" s="66"/>
      <c r="H218" s="55"/>
      <c r="I218" s="55"/>
      <c r="J218" s="64"/>
    </row>
    <row r="219" spans="5:10" x14ac:dyDescent="0.25">
      <c r="E219" s="55"/>
      <c r="F219" s="55"/>
      <c r="G219" s="66"/>
      <c r="H219" s="55"/>
      <c r="I219" s="55"/>
      <c r="J219" s="64"/>
    </row>
    <row r="220" spans="5:10" x14ac:dyDescent="0.25">
      <c r="E220" s="55"/>
      <c r="F220" s="55"/>
      <c r="G220" s="67"/>
      <c r="H220" s="55"/>
      <c r="I220" s="55"/>
      <c r="J220" s="64"/>
    </row>
    <row r="221" spans="5:10" x14ac:dyDescent="0.25">
      <c r="E221" s="55"/>
      <c r="F221" s="55"/>
      <c r="G221" s="67"/>
      <c r="H221" s="55"/>
      <c r="I221" s="55"/>
      <c r="J221" s="64"/>
    </row>
    <row r="222" spans="5:10" x14ac:dyDescent="0.25">
      <c r="E222" s="55"/>
      <c r="F222" s="55"/>
      <c r="G222" s="67"/>
      <c r="H222" s="55"/>
      <c r="I222" s="55"/>
      <c r="J222" s="64"/>
    </row>
    <row r="223" spans="5:10" x14ac:dyDescent="0.25">
      <c r="E223" s="55"/>
      <c r="F223" s="55"/>
      <c r="G223" s="67"/>
      <c r="H223" s="55"/>
      <c r="I223" s="55"/>
      <c r="J223" s="64"/>
    </row>
    <row r="224" spans="5:10" x14ac:dyDescent="0.25">
      <c r="E224" s="55"/>
      <c r="F224" s="55"/>
      <c r="G224" s="67"/>
      <c r="H224" s="55"/>
      <c r="I224" s="55"/>
      <c r="J224" s="64"/>
    </row>
    <row r="225" spans="5:10" x14ac:dyDescent="0.25">
      <c r="E225" s="55"/>
      <c r="F225" s="55"/>
      <c r="G225" s="67"/>
      <c r="H225" s="55"/>
      <c r="I225" s="55"/>
      <c r="J225" s="64"/>
    </row>
    <row r="226" spans="5:10" x14ac:dyDescent="0.25">
      <c r="E226" s="55"/>
      <c r="F226" s="55"/>
      <c r="G226" s="67"/>
      <c r="H226" s="55"/>
      <c r="I226" s="55"/>
      <c r="J226" s="64"/>
    </row>
    <row r="227" spans="5:10" x14ac:dyDescent="0.25">
      <c r="E227" s="55"/>
      <c r="F227" s="55"/>
      <c r="G227" s="65"/>
      <c r="H227" s="55"/>
      <c r="I227" s="55"/>
      <c r="J227" s="64"/>
    </row>
    <row r="228" spans="5:10" x14ac:dyDescent="0.25">
      <c r="E228" s="55"/>
      <c r="F228" s="55"/>
      <c r="G228" s="65"/>
      <c r="H228" s="55"/>
      <c r="I228" s="55"/>
      <c r="J228" s="64"/>
    </row>
    <row r="229" spans="5:10" x14ac:dyDescent="0.25">
      <c r="E229" s="55"/>
      <c r="F229" s="55"/>
      <c r="G229" s="65"/>
      <c r="H229" s="55"/>
      <c r="I229" s="55"/>
      <c r="J229" s="64"/>
    </row>
    <row r="230" spans="5:10" x14ac:dyDescent="0.25">
      <c r="E230" s="55"/>
      <c r="F230" s="55"/>
      <c r="G230" s="65"/>
      <c r="H230" s="55"/>
      <c r="I230" s="55"/>
      <c r="J230" s="64"/>
    </row>
    <row r="231" spans="5:10" x14ac:dyDescent="0.25">
      <c r="E231" s="55"/>
      <c r="F231" s="55"/>
      <c r="G231" s="65"/>
      <c r="H231" s="55"/>
      <c r="I231" s="55"/>
      <c r="J231" s="64"/>
    </row>
    <row r="232" spans="5:10" x14ac:dyDescent="0.25">
      <c r="E232" s="55"/>
      <c r="F232" s="55"/>
      <c r="G232" s="65"/>
      <c r="H232" s="55"/>
      <c r="I232" s="55"/>
      <c r="J232" s="64"/>
    </row>
    <row r="233" spans="5:10" x14ac:dyDescent="0.25">
      <c r="E233" s="55"/>
      <c r="F233" s="55"/>
      <c r="G233" s="65"/>
      <c r="H233" s="55"/>
      <c r="I233" s="55"/>
      <c r="J233" s="64"/>
    </row>
    <row r="234" spans="5:10" x14ac:dyDescent="0.25">
      <c r="E234" s="55"/>
      <c r="F234" s="55"/>
      <c r="G234" s="65"/>
      <c r="H234" s="55"/>
      <c r="I234" s="55"/>
      <c r="J234" s="64"/>
    </row>
    <row r="235" spans="5:10" x14ac:dyDescent="0.25">
      <c r="E235" s="55"/>
      <c r="F235" s="55"/>
      <c r="G235" s="66"/>
      <c r="H235" s="55"/>
      <c r="I235" s="55"/>
      <c r="J235" s="64"/>
    </row>
    <row r="236" spans="5:10" x14ac:dyDescent="0.25">
      <c r="E236" s="55"/>
      <c r="F236" s="55"/>
      <c r="G236" s="67"/>
      <c r="H236" s="55"/>
      <c r="I236" s="55"/>
      <c r="J236" s="64"/>
    </row>
    <row r="237" spans="5:10" x14ac:dyDescent="0.25">
      <c r="E237" s="55"/>
      <c r="F237" s="55"/>
      <c r="G237" s="67"/>
      <c r="H237" s="55"/>
      <c r="I237" s="55"/>
      <c r="J237" s="64"/>
    </row>
    <row r="238" spans="5:10" x14ac:dyDescent="0.25">
      <c r="E238" s="55"/>
      <c r="F238" s="55"/>
      <c r="G238" s="67"/>
      <c r="H238" s="55"/>
      <c r="I238" s="55"/>
      <c r="J238" s="64"/>
    </row>
    <row r="239" spans="5:10" x14ac:dyDescent="0.25">
      <c r="E239" s="55"/>
      <c r="F239" s="55"/>
      <c r="G239" s="67"/>
      <c r="H239" s="55"/>
      <c r="I239" s="55"/>
      <c r="J239" s="64"/>
    </row>
    <row r="240" spans="5:10" x14ac:dyDescent="0.25">
      <c r="E240" s="55"/>
      <c r="F240" s="55"/>
      <c r="G240" s="67"/>
      <c r="H240" s="55"/>
      <c r="I240" s="55"/>
      <c r="J240" s="64"/>
    </row>
    <row r="241" spans="5:10" x14ac:dyDescent="0.25">
      <c r="E241" s="55"/>
      <c r="F241" s="55"/>
      <c r="G241" s="67"/>
      <c r="H241" s="55"/>
      <c r="I241" s="55"/>
      <c r="J241" s="64"/>
    </row>
    <row r="242" spans="5:10" x14ac:dyDescent="0.25">
      <c r="E242" s="55"/>
      <c r="F242" s="55"/>
      <c r="G242" s="67"/>
      <c r="H242" s="55"/>
      <c r="I242" s="55"/>
      <c r="J242" s="64"/>
    </row>
    <row r="243" spans="5:10" x14ac:dyDescent="0.25">
      <c r="E243" s="55"/>
      <c r="F243" s="55"/>
      <c r="G243" s="67"/>
      <c r="H243" s="55"/>
      <c r="I243" s="55"/>
      <c r="J243" s="64"/>
    </row>
    <row r="244" spans="5:10" x14ac:dyDescent="0.25">
      <c r="E244" s="55"/>
      <c r="F244" s="55"/>
      <c r="G244" s="67"/>
      <c r="H244" s="55"/>
      <c r="I244" s="55"/>
      <c r="J244" s="64"/>
    </row>
    <row r="245" spans="5:10" x14ac:dyDescent="0.25">
      <c r="E245" s="55"/>
      <c r="F245" s="55"/>
      <c r="G245" s="65"/>
      <c r="H245" s="55"/>
      <c r="I245" s="55"/>
      <c r="J245" s="64"/>
    </row>
    <row r="246" spans="5:10" x14ac:dyDescent="0.25">
      <c r="E246" s="55"/>
      <c r="F246" s="55"/>
      <c r="G246" s="65"/>
      <c r="H246" s="55"/>
      <c r="I246" s="55"/>
      <c r="J246" s="64"/>
    </row>
    <row r="247" spans="5:10" x14ac:dyDescent="0.25">
      <c r="E247" s="55"/>
      <c r="F247" s="55"/>
      <c r="G247" s="65"/>
      <c r="H247" s="55"/>
      <c r="I247" s="55"/>
      <c r="J247" s="64"/>
    </row>
    <row r="248" spans="5:10" x14ac:dyDescent="0.25">
      <c r="E248" s="55"/>
      <c r="F248" s="55"/>
      <c r="G248" s="68"/>
      <c r="H248" s="55"/>
      <c r="I248" s="55"/>
      <c r="J248" s="64"/>
    </row>
    <row r="249" spans="5:10" x14ac:dyDescent="0.25">
      <c r="E249" s="55"/>
      <c r="F249" s="55"/>
      <c r="G249" s="68"/>
      <c r="H249" s="55"/>
      <c r="I249" s="55"/>
      <c r="J249" s="64"/>
    </row>
    <row r="250" spans="5:10" x14ac:dyDescent="0.25">
      <c r="E250" s="55"/>
      <c r="F250" s="55"/>
      <c r="G250" s="68"/>
      <c r="H250" s="55"/>
      <c r="I250" s="55"/>
      <c r="J250" s="64"/>
    </row>
    <row r="251" spans="5:10" x14ac:dyDescent="0.25">
      <c r="E251" s="55"/>
      <c r="F251" s="55"/>
      <c r="G251" s="68"/>
      <c r="H251" s="55"/>
      <c r="I251" s="55"/>
      <c r="J251" s="64"/>
    </row>
    <row r="252" spans="5:10" x14ac:dyDescent="0.25">
      <c r="E252" s="55"/>
      <c r="F252" s="55"/>
      <c r="G252" s="68"/>
      <c r="H252" s="55"/>
      <c r="I252" s="55"/>
      <c r="J252" s="64"/>
    </row>
    <row r="253" spans="5:10" x14ac:dyDescent="0.25">
      <c r="E253" s="55"/>
      <c r="F253" s="55"/>
      <c r="G253" s="68"/>
      <c r="H253" s="55"/>
      <c r="I253" s="55"/>
      <c r="J253" s="64"/>
    </row>
    <row r="254" spans="5:10" x14ac:dyDescent="0.25">
      <c r="E254" s="55"/>
      <c r="F254" s="55"/>
      <c r="G254" s="68"/>
      <c r="H254" s="55"/>
      <c r="I254" s="55"/>
      <c r="J254" s="64"/>
    </row>
    <row r="255" spans="5:10" x14ac:dyDescent="0.25">
      <c r="E255" s="55"/>
      <c r="F255" s="55"/>
      <c r="G255" s="68"/>
      <c r="H255" s="55"/>
      <c r="I255" s="55"/>
      <c r="J255" s="64"/>
    </row>
    <row r="256" spans="5:10" x14ac:dyDescent="0.25">
      <c r="E256" s="55"/>
      <c r="F256" s="55"/>
      <c r="G256" s="68"/>
      <c r="H256" s="55"/>
      <c r="I256" s="55"/>
      <c r="J256" s="64"/>
    </row>
    <row r="257" spans="1:10" x14ac:dyDescent="0.25">
      <c r="E257" s="55"/>
      <c r="F257" s="55"/>
      <c r="G257" s="68"/>
      <c r="H257" s="55"/>
      <c r="I257" s="55"/>
      <c r="J257" s="64"/>
    </row>
    <row r="258" spans="1:10" x14ac:dyDescent="0.25">
      <c r="E258" s="55"/>
      <c r="F258" s="55"/>
      <c r="G258" s="68"/>
      <c r="H258" s="55"/>
      <c r="I258" s="55"/>
      <c r="J258" s="64"/>
    </row>
    <row r="259" spans="1:10" x14ac:dyDescent="0.25">
      <c r="E259" s="55"/>
      <c r="F259" s="55"/>
      <c r="G259" s="68"/>
      <c r="H259" s="55"/>
      <c r="I259" s="55"/>
      <c r="J259" s="64"/>
    </row>
    <row r="260" spans="1:10" x14ac:dyDescent="0.25">
      <c r="E260" s="55"/>
      <c r="F260" s="55"/>
      <c r="G260" s="68"/>
      <c r="H260" s="55"/>
      <c r="I260" s="55"/>
      <c r="J260" s="64"/>
    </row>
    <row r="261" spans="1:10" x14ac:dyDescent="0.25">
      <c r="E261" s="55"/>
      <c r="F261" s="55"/>
      <c r="G261" s="68"/>
      <c r="H261" s="55"/>
      <c r="I261" s="55"/>
      <c r="J261" s="64"/>
    </row>
    <row r="262" spans="1:10" x14ac:dyDescent="0.25">
      <c r="E262" s="55"/>
      <c r="F262" s="55"/>
      <c r="G262" s="68"/>
      <c r="H262" s="55"/>
      <c r="I262" s="55"/>
      <c r="J262" s="64"/>
    </row>
    <row r="263" spans="1:10" x14ac:dyDescent="0.25">
      <c r="E263" s="55"/>
      <c r="F263" s="55"/>
      <c r="G263" s="68"/>
      <c r="H263" s="55"/>
      <c r="I263" s="55"/>
      <c r="J263" s="64"/>
    </row>
    <row r="264" spans="1:10" x14ac:dyDescent="0.25">
      <c r="E264" s="55"/>
      <c r="F264" s="55"/>
      <c r="G264" s="68"/>
      <c r="H264" s="55"/>
      <c r="I264" s="55"/>
      <c r="J264" s="64"/>
    </row>
    <row r="265" spans="1:10" x14ac:dyDescent="0.25">
      <c r="E265" s="55"/>
      <c r="F265" s="55"/>
      <c r="G265" s="68"/>
      <c r="H265" s="55"/>
      <c r="I265" s="55"/>
      <c r="J265" s="64"/>
    </row>
    <row r="266" spans="1:10" x14ac:dyDescent="0.25">
      <c r="E266" s="55"/>
      <c r="F266" s="55"/>
      <c r="G266" s="68"/>
      <c r="H266" s="55"/>
      <c r="I266" s="55"/>
      <c r="J266" s="64"/>
    </row>
    <row r="267" spans="1:10" x14ac:dyDescent="0.25">
      <c r="E267" s="55"/>
      <c r="F267" s="55"/>
      <c r="G267" s="67"/>
      <c r="H267" s="55"/>
      <c r="I267" s="55"/>
      <c r="J267" s="64"/>
    </row>
    <row r="268" spans="1:10" x14ac:dyDescent="0.25">
      <c r="E268" s="55"/>
      <c r="F268" s="55"/>
      <c r="G268" s="67"/>
      <c r="H268" s="55"/>
      <c r="I268" s="55"/>
      <c r="J268" s="64"/>
    </row>
    <row r="269" spans="1:10" x14ac:dyDescent="0.25">
      <c r="E269" s="55"/>
      <c r="F269" s="55"/>
      <c r="G269" s="67"/>
      <c r="H269" s="55"/>
      <c r="I269" s="55"/>
      <c r="J269" s="64"/>
    </row>
    <row r="270" spans="1:10" x14ac:dyDescent="0.25">
      <c r="E270" s="55"/>
      <c r="F270" s="55"/>
      <c r="G270" s="67"/>
      <c r="H270" s="55"/>
      <c r="I270" s="55"/>
      <c r="J270" s="64"/>
    </row>
    <row r="271" spans="1:10" x14ac:dyDescent="0.25">
      <c r="A271" s="70"/>
      <c r="E271" s="55"/>
      <c r="F271" s="55"/>
      <c r="G271" s="67"/>
      <c r="H271" s="55"/>
      <c r="I271" s="55"/>
      <c r="J271" s="64"/>
    </row>
    <row r="272" spans="1:10" x14ac:dyDescent="0.25">
      <c r="E272" s="55"/>
      <c r="F272" s="55"/>
      <c r="G272" s="67"/>
      <c r="H272" s="55"/>
      <c r="I272" s="55"/>
      <c r="J272" s="64"/>
    </row>
    <row r="273" spans="5:10" x14ac:dyDescent="0.25">
      <c r="E273" s="55"/>
      <c r="F273" s="55"/>
      <c r="G273" s="67"/>
      <c r="H273" s="55"/>
      <c r="I273" s="55"/>
      <c r="J273" s="64"/>
    </row>
    <row r="274" spans="5:10" x14ac:dyDescent="0.25">
      <c r="E274" s="55"/>
      <c r="F274" s="55"/>
      <c r="G274" s="68"/>
      <c r="H274" s="55"/>
      <c r="I274" s="55"/>
      <c r="J274" s="64"/>
    </row>
    <row r="275" spans="5:10" x14ac:dyDescent="0.25">
      <c r="E275" s="55"/>
      <c r="F275" s="55"/>
      <c r="G275" s="68"/>
      <c r="H275" s="55"/>
      <c r="I275" s="55"/>
      <c r="J275" s="64"/>
    </row>
    <row r="276" spans="5:10" x14ac:dyDescent="0.25">
      <c r="E276" s="55"/>
      <c r="F276" s="55"/>
      <c r="G276" s="68"/>
      <c r="H276" s="55"/>
      <c r="I276" s="55"/>
      <c r="J276" s="64"/>
    </row>
    <row r="277" spans="5:10" x14ac:dyDescent="0.25">
      <c r="E277" s="55"/>
      <c r="F277" s="55"/>
      <c r="G277" s="68"/>
      <c r="H277" s="55"/>
      <c r="I277" s="55"/>
      <c r="J277" s="64"/>
    </row>
    <row r="278" spans="5:10" x14ac:dyDescent="0.25">
      <c r="E278" s="55"/>
      <c r="F278" s="55"/>
      <c r="G278" s="68"/>
      <c r="H278" s="55"/>
      <c r="I278" s="55"/>
      <c r="J278" s="64"/>
    </row>
    <row r="279" spans="5:10" x14ac:dyDescent="0.25">
      <c r="E279" s="55"/>
      <c r="F279" s="55"/>
      <c r="G279" s="68"/>
      <c r="H279" s="55"/>
      <c r="I279" s="55"/>
      <c r="J279" s="64"/>
    </row>
    <row r="280" spans="5:10" x14ac:dyDescent="0.25">
      <c r="E280" s="55"/>
      <c r="F280" s="55"/>
      <c r="G280" s="68"/>
      <c r="H280" s="55"/>
      <c r="I280" s="55"/>
      <c r="J280" s="64"/>
    </row>
    <row r="281" spans="5:10" x14ac:dyDescent="0.25">
      <c r="E281" s="55"/>
      <c r="F281" s="55"/>
      <c r="G281" s="68"/>
      <c r="H281" s="55"/>
      <c r="I281" s="55"/>
      <c r="J281" s="64"/>
    </row>
    <row r="282" spans="5:10" x14ac:dyDescent="0.25">
      <c r="E282" s="55"/>
      <c r="F282" s="55"/>
      <c r="G282" s="68"/>
      <c r="H282" s="55"/>
      <c r="I282" s="55"/>
      <c r="J282" s="64"/>
    </row>
    <row r="283" spans="5:10" x14ac:dyDescent="0.25">
      <c r="E283" s="55"/>
      <c r="F283" s="55"/>
      <c r="G283" s="68"/>
      <c r="H283" s="55"/>
      <c r="I283" s="55"/>
      <c r="J283" s="64"/>
    </row>
    <row r="284" spans="5:10" x14ac:dyDescent="0.25">
      <c r="E284" s="55"/>
      <c r="F284" s="55"/>
      <c r="G284" s="68"/>
      <c r="H284" s="55"/>
      <c r="I284" s="55"/>
      <c r="J284" s="64"/>
    </row>
    <row r="285" spans="5:10" x14ac:dyDescent="0.25">
      <c r="E285" s="55"/>
      <c r="F285" s="55"/>
      <c r="G285" s="68"/>
      <c r="H285" s="55"/>
      <c r="I285" s="55"/>
      <c r="J285" s="64"/>
    </row>
    <row r="286" spans="5:10" x14ac:dyDescent="0.25">
      <c r="E286" s="55"/>
      <c r="F286" s="55"/>
      <c r="G286" s="68"/>
      <c r="H286" s="55"/>
      <c r="I286" s="55"/>
      <c r="J286" s="64"/>
    </row>
    <row r="287" spans="5:10" x14ac:dyDescent="0.25">
      <c r="E287" s="55"/>
      <c r="F287" s="55"/>
      <c r="G287" s="68"/>
      <c r="H287" s="55"/>
      <c r="I287" s="55"/>
      <c r="J287" s="64"/>
    </row>
    <row r="288" spans="5:10" x14ac:dyDescent="0.25">
      <c r="E288" s="55"/>
      <c r="F288" s="55"/>
      <c r="G288" s="67"/>
      <c r="H288" s="55"/>
      <c r="I288" s="55"/>
      <c r="J288" s="64"/>
    </row>
    <row r="289" spans="5:10" x14ac:dyDescent="0.25">
      <c r="E289" s="55"/>
      <c r="F289" s="55"/>
      <c r="G289" s="67"/>
      <c r="H289" s="55"/>
      <c r="I289" s="55"/>
      <c r="J289" s="64"/>
    </row>
    <row r="290" spans="5:10" x14ac:dyDescent="0.25">
      <c r="E290" s="55"/>
      <c r="F290" s="55"/>
      <c r="G290" s="67"/>
      <c r="H290" s="55"/>
      <c r="I290" s="55"/>
      <c r="J290" s="64"/>
    </row>
    <row r="291" spans="5:10" x14ac:dyDescent="0.25">
      <c r="E291" s="55"/>
      <c r="F291" s="55"/>
      <c r="G291" s="67"/>
      <c r="H291" s="55"/>
      <c r="I291" s="55"/>
      <c r="J291" s="64"/>
    </row>
    <row r="292" spans="5:10" x14ac:dyDescent="0.25">
      <c r="E292" s="55"/>
      <c r="F292" s="55"/>
      <c r="G292" s="67"/>
      <c r="H292" s="55"/>
      <c r="I292" s="55"/>
      <c r="J292" s="64"/>
    </row>
    <row r="293" spans="5:10" x14ac:dyDescent="0.25">
      <c r="E293" s="55"/>
      <c r="F293" s="55"/>
      <c r="G293" s="67"/>
      <c r="H293" s="55"/>
      <c r="I293" s="55"/>
      <c r="J293" s="64"/>
    </row>
    <row r="294" spans="5:10" x14ac:dyDescent="0.25">
      <c r="E294" s="55"/>
      <c r="F294" s="55"/>
      <c r="G294" s="67"/>
      <c r="H294" s="55"/>
      <c r="I294" s="55"/>
      <c r="J294" s="64"/>
    </row>
    <row r="295" spans="5:10" x14ac:dyDescent="0.25">
      <c r="E295" s="55"/>
      <c r="F295" s="55"/>
      <c r="G295" s="67"/>
      <c r="H295" s="55"/>
      <c r="I295" s="55"/>
      <c r="J295" s="64"/>
    </row>
    <row r="296" spans="5:10" x14ac:dyDescent="0.25">
      <c r="E296" s="55"/>
      <c r="F296" s="55"/>
      <c r="G296" s="67"/>
      <c r="H296" s="55"/>
      <c r="I296" s="55"/>
      <c r="J296" s="64"/>
    </row>
    <row r="297" spans="5:10" x14ac:dyDescent="0.25">
      <c r="E297" s="55"/>
      <c r="F297" s="55"/>
      <c r="G297" s="67"/>
      <c r="H297" s="55"/>
      <c r="I297" s="55"/>
      <c r="J297" s="64"/>
    </row>
    <row r="298" spans="5:10" x14ac:dyDescent="0.25">
      <c r="E298" s="55"/>
      <c r="F298" s="55"/>
      <c r="G298" s="67"/>
      <c r="H298" s="55"/>
      <c r="I298" s="55"/>
      <c r="J298" s="64"/>
    </row>
    <row r="299" spans="5:10" x14ac:dyDescent="0.25">
      <c r="E299" s="55"/>
      <c r="F299" s="55"/>
      <c r="G299" s="67"/>
      <c r="H299" s="55"/>
      <c r="I299" s="55"/>
      <c r="J299" s="64"/>
    </row>
    <row r="300" spans="5:10" x14ac:dyDescent="0.25">
      <c r="E300" s="55"/>
      <c r="F300" s="55"/>
      <c r="G300" s="67"/>
      <c r="H300" s="55"/>
      <c r="I300" s="55"/>
      <c r="J300" s="64"/>
    </row>
    <row r="301" spans="5:10" x14ac:dyDescent="0.25">
      <c r="E301" s="55"/>
      <c r="F301" s="55"/>
      <c r="G301" s="67"/>
      <c r="H301" s="55"/>
      <c r="I301" s="55"/>
      <c r="J301" s="64"/>
    </row>
    <row r="302" spans="5:10" x14ac:dyDescent="0.25">
      <c r="E302" s="55"/>
      <c r="F302" s="55"/>
      <c r="G302" s="67"/>
      <c r="H302" s="55"/>
      <c r="I302" s="55"/>
      <c r="J302" s="64"/>
    </row>
    <row r="303" spans="5:10" x14ac:dyDescent="0.25">
      <c r="E303" s="55"/>
      <c r="F303" s="55"/>
      <c r="G303" s="67"/>
      <c r="H303" s="55"/>
      <c r="I303" s="55"/>
      <c r="J303" s="64"/>
    </row>
    <row r="304" spans="5:10" x14ac:dyDescent="0.25">
      <c r="E304" s="55"/>
      <c r="F304" s="55"/>
      <c r="G304" s="67"/>
      <c r="H304" s="55"/>
      <c r="I304" s="55"/>
      <c r="J304" s="64"/>
    </row>
    <row r="305" spans="5:10" x14ac:dyDescent="0.25">
      <c r="E305" s="55"/>
      <c r="F305" s="55"/>
      <c r="G305" s="67"/>
      <c r="H305" s="55"/>
      <c r="I305" s="55"/>
      <c r="J305" s="64"/>
    </row>
    <row r="306" spans="5:10" x14ac:dyDescent="0.25">
      <c r="E306" s="55"/>
      <c r="F306" s="55"/>
      <c r="G306" s="67"/>
      <c r="H306" s="55"/>
      <c r="I306" s="55"/>
      <c r="J306" s="64"/>
    </row>
    <row r="307" spans="5:10" x14ac:dyDescent="0.25">
      <c r="E307" s="55"/>
      <c r="F307" s="55"/>
      <c r="G307" s="67"/>
      <c r="H307" s="55"/>
      <c r="I307" s="55"/>
      <c r="J307" s="64"/>
    </row>
    <row r="308" spans="5:10" x14ac:dyDescent="0.25">
      <c r="E308" s="55"/>
      <c r="F308" s="55"/>
      <c r="G308" s="65"/>
      <c r="H308" s="55"/>
      <c r="I308" s="55"/>
      <c r="J308" s="64"/>
    </row>
    <row r="309" spans="5:10" x14ac:dyDescent="0.25">
      <c r="E309" s="55"/>
      <c r="F309" s="55"/>
      <c r="G309" s="67"/>
      <c r="H309" s="55"/>
      <c r="I309" s="55"/>
      <c r="J309" s="64"/>
    </row>
    <row r="310" spans="5:10" x14ac:dyDescent="0.25">
      <c r="E310" s="55"/>
      <c r="F310" s="55"/>
      <c r="G310" s="67"/>
      <c r="H310" s="55"/>
      <c r="I310" s="55"/>
      <c r="J310" s="64"/>
    </row>
    <row r="311" spans="5:10" x14ac:dyDescent="0.25">
      <c r="E311" s="55"/>
      <c r="F311" s="55"/>
      <c r="G311" s="67"/>
      <c r="H311" s="55"/>
      <c r="I311" s="55"/>
      <c r="J311" s="64"/>
    </row>
    <row r="312" spans="5:10" x14ac:dyDescent="0.25">
      <c r="E312" s="55"/>
      <c r="F312" s="55"/>
      <c r="G312" s="67"/>
      <c r="H312" s="55"/>
      <c r="I312" s="55"/>
      <c r="J312" s="64"/>
    </row>
    <row r="313" spans="5:10" x14ac:dyDescent="0.25">
      <c r="E313" s="55"/>
      <c r="F313" s="55"/>
      <c r="G313" s="67"/>
      <c r="H313" s="55"/>
      <c r="I313" s="55"/>
      <c r="J313" s="64"/>
    </row>
    <row r="314" spans="5:10" x14ac:dyDescent="0.25">
      <c r="E314" s="55"/>
      <c r="F314" s="55"/>
      <c r="G314" s="67"/>
      <c r="H314" s="55"/>
      <c r="I314" s="55"/>
      <c r="J314" s="64"/>
    </row>
    <row r="315" spans="5:10" x14ac:dyDescent="0.25">
      <c r="E315" s="55"/>
      <c r="F315" s="55"/>
      <c r="G315" s="67"/>
      <c r="H315" s="55"/>
      <c r="I315" s="55"/>
      <c r="J315" s="64"/>
    </row>
    <row r="316" spans="5:10" x14ac:dyDescent="0.25">
      <c r="E316" s="55"/>
      <c r="F316" s="55"/>
      <c r="G316" s="67"/>
      <c r="H316" s="55"/>
      <c r="I316" s="55"/>
      <c r="J316" s="64"/>
    </row>
    <row r="317" spans="5:10" x14ac:dyDescent="0.25">
      <c r="E317" s="55"/>
      <c r="F317" s="55"/>
      <c r="G317" s="67"/>
      <c r="H317" s="55"/>
      <c r="I317" s="55"/>
      <c r="J317" s="64"/>
    </row>
    <row r="318" spans="5:10" x14ac:dyDescent="0.25">
      <c r="E318" s="55"/>
      <c r="F318" s="55"/>
      <c r="G318" s="67"/>
      <c r="H318" s="55"/>
      <c r="I318" s="55"/>
      <c r="J318" s="64"/>
    </row>
    <row r="319" spans="5:10" x14ac:dyDescent="0.25">
      <c r="E319" s="55"/>
      <c r="F319" s="55"/>
      <c r="G319" s="67"/>
      <c r="H319" s="55"/>
      <c r="I319" s="55"/>
      <c r="J319" s="64"/>
    </row>
    <row r="320" spans="5:10" x14ac:dyDescent="0.25">
      <c r="E320" s="55"/>
      <c r="F320" s="55"/>
      <c r="G320" s="67"/>
      <c r="H320" s="55"/>
      <c r="I320" s="55"/>
      <c r="J320" s="64"/>
    </row>
    <row r="321" spans="5:10" x14ac:dyDescent="0.25">
      <c r="E321" s="55"/>
      <c r="F321" s="55"/>
      <c r="G321" s="67"/>
      <c r="H321" s="55"/>
      <c r="I321" s="55"/>
      <c r="J321" s="64"/>
    </row>
    <row r="322" spans="5:10" x14ac:dyDescent="0.25">
      <c r="E322" s="55"/>
      <c r="F322" s="55"/>
      <c r="G322" s="67"/>
      <c r="H322" s="55"/>
      <c r="I322" s="55"/>
      <c r="J322" s="64"/>
    </row>
    <row r="323" spans="5:10" x14ac:dyDescent="0.25">
      <c r="E323" s="55"/>
      <c r="F323" s="55"/>
      <c r="G323" s="68"/>
      <c r="H323" s="55"/>
      <c r="I323" s="55"/>
      <c r="J323" s="64"/>
    </row>
    <row r="324" spans="5:10" x14ac:dyDescent="0.25">
      <c r="E324" s="55"/>
      <c r="F324" s="55"/>
      <c r="G324" s="68"/>
      <c r="H324" s="55"/>
      <c r="I324" s="55"/>
      <c r="J324" s="64"/>
    </row>
    <row r="325" spans="5:10" x14ac:dyDescent="0.25">
      <c r="E325" s="55"/>
      <c r="F325" s="55"/>
      <c r="G325" s="68"/>
      <c r="H325" s="55"/>
      <c r="I325" s="55"/>
      <c r="J325" s="64"/>
    </row>
    <row r="326" spans="5:10" x14ac:dyDescent="0.25">
      <c r="E326" s="55"/>
      <c r="F326" s="55"/>
      <c r="G326" s="68"/>
      <c r="H326" s="55"/>
      <c r="I326" s="55"/>
      <c r="J326" s="64"/>
    </row>
    <row r="327" spans="5:10" x14ac:dyDescent="0.25">
      <c r="E327" s="55"/>
      <c r="F327" s="55"/>
      <c r="G327" s="68"/>
      <c r="H327" s="55"/>
      <c r="I327" s="55"/>
      <c r="J327" s="64"/>
    </row>
    <row r="328" spans="5:10" x14ac:dyDescent="0.25">
      <c r="E328" s="55"/>
      <c r="F328" s="55"/>
      <c r="G328" s="68"/>
      <c r="H328" s="55"/>
      <c r="I328" s="55"/>
      <c r="J328" s="64"/>
    </row>
    <row r="329" spans="5:10" x14ac:dyDescent="0.25">
      <c r="E329" s="55"/>
      <c r="F329" s="55"/>
      <c r="G329" s="68"/>
      <c r="H329" s="55"/>
      <c r="I329" s="55"/>
      <c r="J329" s="64"/>
    </row>
    <row r="330" spans="5:10" x14ac:dyDescent="0.25">
      <c r="E330" s="55"/>
      <c r="F330" s="55"/>
      <c r="G330" s="68"/>
      <c r="H330" s="55"/>
      <c r="I330" s="55"/>
      <c r="J330" s="64"/>
    </row>
    <row r="331" spans="5:10" x14ac:dyDescent="0.25">
      <c r="E331" s="55"/>
      <c r="F331" s="55"/>
      <c r="G331" s="68"/>
      <c r="H331" s="55"/>
      <c r="I331" s="55"/>
      <c r="J331" s="64"/>
    </row>
    <row r="332" spans="5:10" x14ac:dyDescent="0.25">
      <c r="E332" s="55"/>
      <c r="F332" s="55"/>
      <c r="G332" s="68"/>
      <c r="H332" s="55"/>
      <c r="I332" s="55"/>
      <c r="J332" s="64"/>
    </row>
    <row r="333" spans="5:10" x14ac:dyDescent="0.25">
      <c r="E333" s="55"/>
      <c r="F333" s="55"/>
      <c r="G333" s="68"/>
      <c r="H333" s="55"/>
      <c r="I333" s="55"/>
      <c r="J333" s="64"/>
    </row>
    <row r="334" spans="5:10" x14ac:dyDescent="0.25">
      <c r="E334" s="55"/>
      <c r="F334" s="55"/>
      <c r="G334" s="68"/>
      <c r="H334" s="55"/>
      <c r="I334" s="55"/>
      <c r="J334" s="64"/>
    </row>
    <row r="335" spans="5:10" x14ac:dyDescent="0.25">
      <c r="E335" s="55"/>
      <c r="F335" s="55"/>
      <c r="G335" s="68"/>
      <c r="H335" s="55"/>
      <c r="I335" s="55"/>
      <c r="J335" s="64"/>
    </row>
    <row r="336" spans="5:10" x14ac:dyDescent="0.25">
      <c r="E336" s="55"/>
      <c r="F336" s="55"/>
      <c r="G336" s="68"/>
      <c r="H336" s="55"/>
      <c r="I336" s="55"/>
      <c r="J336" s="64"/>
    </row>
    <row r="337" spans="5:10" x14ac:dyDescent="0.25">
      <c r="E337" s="55"/>
      <c r="F337" s="55"/>
      <c r="G337" s="68"/>
      <c r="H337" s="55"/>
      <c r="I337" s="55"/>
      <c r="J337" s="64"/>
    </row>
    <row r="338" spans="5:10" x14ac:dyDescent="0.25">
      <c r="E338" s="55"/>
      <c r="F338" s="55"/>
      <c r="G338" s="68"/>
      <c r="H338" s="55"/>
      <c r="I338" s="55"/>
      <c r="J338" s="64"/>
    </row>
    <row r="339" spans="5:10" x14ac:dyDescent="0.25">
      <c r="E339" s="55"/>
      <c r="F339" s="55"/>
      <c r="G339" s="68"/>
      <c r="H339" s="55"/>
      <c r="I339" s="55"/>
      <c r="J339" s="64"/>
    </row>
    <row r="340" spans="5:10" x14ac:dyDescent="0.25">
      <c r="E340" s="55"/>
      <c r="F340" s="55"/>
      <c r="G340" s="68"/>
      <c r="H340" s="55"/>
      <c r="I340" s="55"/>
      <c r="J340" s="64"/>
    </row>
    <row r="341" spans="5:10" x14ac:dyDescent="0.25">
      <c r="E341" s="55"/>
      <c r="F341" s="55"/>
      <c r="G341" s="68"/>
      <c r="H341" s="55"/>
      <c r="I341" s="55"/>
      <c r="J341" s="64"/>
    </row>
    <row r="342" spans="5:10" x14ac:dyDescent="0.25">
      <c r="E342" s="55"/>
      <c r="F342" s="55"/>
      <c r="G342" s="68"/>
      <c r="H342" s="55"/>
      <c r="I342" s="55"/>
      <c r="J342" s="64"/>
    </row>
    <row r="343" spans="5:10" x14ac:dyDescent="0.25">
      <c r="E343" s="55"/>
      <c r="F343" s="55"/>
      <c r="G343" s="68"/>
      <c r="H343" s="55"/>
      <c r="I343" s="55"/>
      <c r="J343" s="64"/>
    </row>
    <row r="344" spans="5:10" x14ac:dyDescent="0.25">
      <c r="E344" s="55"/>
      <c r="F344" s="55"/>
      <c r="G344" s="68"/>
      <c r="H344" s="55"/>
      <c r="I344" s="55"/>
      <c r="J344" s="64"/>
    </row>
    <row r="345" spans="5:10" x14ac:dyDescent="0.25">
      <c r="E345" s="55"/>
      <c r="F345" s="55"/>
      <c r="G345" s="68"/>
      <c r="H345" s="55"/>
      <c r="I345" s="55"/>
      <c r="J345" s="64"/>
    </row>
    <row r="346" spans="5:10" x14ac:dyDescent="0.25">
      <c r="E346" s="55"/>
      <c r="F346" s="55"/>
      <c r="G346" s="68"/>
      <c r="H346" s="55"/>
      <c r="I346" s="55"/>
      <c r="J346" s="64"/>
    </row>
    <row r="347" spans="5:10" x14ac:dyDescent="0.25">
      <c r="E347" s="55"/>
      <c r="F347" s="55"/>
      <c r="G347" s="68"/>
      <c r="H347" s="55"/>
      <c r="I347" s="55"/>
      <c r="J347" s="64"/>
    </row>
    <row r="348" spans="5:10" x14ac:dyDescent="0.25">
      <c r="E348" s="55"/>
      <c r="F348" s="55"/>
      <c r="G348" s="68"/>
      <c r="H348" s="55"/>
      <c r="I348" s="55"/>
      <c r="J348" s="64"/>
    </row>
    <row r="349" spans="5:10" x14ac:dyDescent="0.25">
      <c r="E349" s="55"/>
      <c r="F349" s="55"/>
      <c r="G349" s="68"/>
      <c r="H349" s="55"/>
      <c r="I349" s="55"/>
      <c r="J349" s="64"/>
    </row>
    <row r="350" spans="5:10" x14ac:dyDescent="0.25">
      <c r="E350" s="55"/>
      <c r="F350" s="55"/>
      <c r="G350" s="68"/>
      <c r="H350" s="55"/>
      <c r="I350" s="55"/>
      <c r="J350" s="64"/>
    </row>
    <row r="351" spans="5:10" x14ac:dyDescent="0.25">
      <c r="E351" s="55"/>
      <c r="F351" s="55"/>
      <c r="G351" s="68"/>
      <c r="H351" s="55"/>
      <c r="I351" s="55"/>
      <c r="J351" s="64"/>
    </row>
    <row r="352" spans="5:10" x14ac:dyDescent="0.25">
      <c r="E352" s="55"/>
      <c r="F352" s="55"/>
      <c r="G352" s="68"/>
      <c r="H352" s="55"/>
      <c r="I352" s="55"/>
      <c r="J352" s="64"/>
    </row>
    <row r="353" spans="5:10" x14ac:dyDescent="0.25">
      <c r="E353" s="55"/>
      <c r="F353" s="55"/>
      <c r="G353" s="68"/>
      <c r="H353" s="55"/>
      <c r="I353" s="55"/>
      <c r="J353" s="64"/>
    </row>
    <row r="354" spans="5:10" x14ac:dyDescent="0.25">
      <c r="E354" s="55"/>
      <c r="F354" s="55"/>
      <c r="G354" s="68"/>
      <c r="H354" s="55"/>
      <c r="I354" s="55"/>
      <c r="J354" s="64"/>
    </row>
    <row r="355" spans="5:10" x14ac:dyDescent="0.25">
      <c r="E355" s="55"/>
      <c r="F355" s="55"/>
      <c r="G355" s="68"/>
      <c r="H355" s="55"/>
      <c r="I355" s="55"/>
      <c r="J355" s="64"/>
    </row>
    <row r="356" spans="5:10" x14ac:dyDescent="0.25">
      <c r="E356" s="55"/>
      <c r="F356" s="55"/>
      <c r="G356" s="68"/>
      <c r="H356" s="55"/>
      <c r="I356" s="55"/>
      <c r="J356" s="64"/>
    </row>
    <row r="357" spans="5:10" x14ac:dyDescent="0.25">
      <c r="E357" s="55"/>
      <c r="F357" s="55"/>
      <c r="G357" s="68"/>
      <c r="H357" s="55"/>
      <c r="I357" s="55"/>
      <c r="J357" s="64"/>
    </row>
    <row r="358" spans="5:10" x14ac:dyDescent="0.25">
      <c r="E358" s="55"/>
      <c r="F358" s="55"/>
      <c r="G358" s="68"/>
      <c r="H358" s="55"/>
      <c r="I358" s="55"/>
      <c r="J358" s="64"/>
    </row>
    <row r="359" spans="5:10" x14ac:dyDescent="0.25">
      <c r="E359" s="55"/>
      <c r="F359" s="55"/>
      <c r="G359" s="68"/>
      <c r="H359" s="55"/>
      <c r="I359" s="55"/>
      <c r="J359" s="64"/>
    </row>
    <row r="360" spans="5:10" x14ac:dyDescent="0.25">
      <c r="E360" s="55"/>
      <c r="F360" s="55"/>
      <c r="G360" s="68"/>
      <c r="H360" s="55"/>
      <c r="I360" s="55"/>
      <c r="J360" s="64"/>
    </row>
    <row r="361" spans="5:10" x14ac:dyDescent="0.25">
      <c r="E361" s="55"/>
      <c r="F361" s="55"/>
      <c r="G361" s="68"/>
      <c r="H361" s="55"/>
      <c r="I361" s="55"/>
      <c r="J361" s="64"/>
    </row>
    <row r="362" spans="5:10" x14ac:dyDescent="0.25">
      <c r="E362" s="55"/>
      <c r="F362" s="55"/>
      <c r="G362" s="68"/>
      <c r="H362" s="55"/>
      <c r="I362" s="55"/>
      <c r="J362" s="64"/>
    </row>
    <row r="363" spans="5:10" x14ac:dyDescent="0.25">
      <c r="E363" s="55"/>
      <c r="F363" s="55"/>
      <c r="G363" s="68"/>
      <c r="H363" s="55"/>
      <c r="I363" s="55"/>
      <c r="J363" s="64"/>
    </row>
    <row r="364" spans="5:10" x14ac:dyDescent="0.25">
      <c r="E364" s="55"/>
      <c r="F364" s="55"/>
      <c r="G364" s="68"/>
      <c r="H364" s="55"/>
      <c r="I364" s="55"/>
      <c r="J364" s="64"/>
    </row>
    <row r="365" spans="5:10" x14ac:dyDescent="0.25">
      <c r="E365" s="55"/>
      <c r="F365" s="55"/>
      <c r="G365" s="68"/>
      <c r="H365" s="55"/>
      <c r="I365" s="55"/>
      <c r="J365" s="64"/>
    </row>
    <row r="366" spans="5:10" x14ac:dyDescent="0.25">
      <c r="E366" s="55"/>
      <c r="F366" s="55"/>
      <c r="G366" s="68"/>
      <c r="H366" s="55"/>
      <c r="I366" s="55"/>
      <c r="J366" s="64"/>
    </row>
    <row r="367" spans="5:10" x14ac:dyDescent="0.25">
      <c r="E367" s="55"/>
      <c r="F367" s="55"/>
      <c r="G367" s="68"/>
      <c r="H367" s="55"/>
      <c r="I367" s="55"/>
      <c r="J367" s="64"/>
    </row>
    <row r="368" spans="5:10" x14ac:dyDescent="0.25">
      <c r="E368" s="55"/>
      <c r="F368" s="55"/>
      <c r="G368" s="68"/>
      <c r="H368" s="55"/>
      <c r="I368" s="55"/>
      <c r="J368" s="64"/>
    </row>
    <row r="369" spans="5:10" x14ac:dyDescent="0.25">
      <c r="E369" s="55"/>
      <c r="F369" s="55"/>
      <c r="G369" s="68"/>
      <c r="H369" s="55"/>
      <c r="I369" s="55"/>
      <c r="J369" s="64"/>
    </row>
    <row r="370" spans="5:10" x14ac:dyDescent="0.25">
      <c r="E370" s="55"/>
      <c r="F370" s="55"/>
      <c r="G370" s="67"/>
      <c r="H370" s="55"/>
      <c r="I370" s="55"/>
      <c r="J370" s="64"/>
    </row>
    <row r="371" spans="5:10" x14ac:dyDescent="0.25">
      <c r="E371" s="55"/>
      <c r="F371" s="55"/>
      <c r="G371" s="67"/>
      <c r="H371" s="55"/>
      <c r="I371" s="55"/>
      <c r="J371" s="64"/>
    </row>
    <row r="372" spans="5:10" x14ac:dyDescent="0.25">
      <c r="E372" s="55"/>
      <c r="F372" s="55"/>
      <c r="G372" s="67"/>
      <c r="H372" s="55"/>
      <c r="I372" s="55"/>
      <c r="J372" s="64"/>
    </row>
    <row r="373" spans="5:10" x14ac:dyDescent="0.25">
      <c r="E373" s="55"/>
      <c r="F373" s="55"/>
      <c r="G373" s="67"/>
      <c r="H373" s="55"/>
      <c r="I373" s="55"/>
      <c r="J373" s="64"/>
    </row>
    <row r="374" spans="5:10" x14ac:dyDescent="0.25">
      <c r="E374" s="55"/>
      <c r="F374" s="55"/>
      <c r="G374" s="67"/>
      <c r="H374" s="55"/>
      <c r="I374" s="55"/>
      <c r="J374" s="64"/>
    </row>
    <row r="375" spans="5:10" x14ac:dyDescent="0.25">
      <c r="E375" s="55"/>
      <c r="F375" s="55"/>
      <c r="G375" s="67"/>
      <c r="H375" s="55"/>
      <c r="I375" s="55"/>
      <c r="J375" s="64"/>
    </row>
    <row r="376" spans="5:10" x14ac:dyDescent="0.25">
      <c r="E376" s="55"/>
      <c r="F376" s="55"/>
      <c r="G376" s="67"/>
      <c r="H376" s="55"/>
      <c r="I376" s="55"/>
      <c r="J376" s="64"/>
    </row>
    <row r="377" spans="5:10" x14ac:dyDescent="0.25">
      <c r="E377" s="55"/>
      <c r="F377" s="55"/>
      <c r="G377" s="67"/>
      <c r="H377" s="55"/>
      <c r="I377" s="55"/>
      <c r="J377" s="64"/>
    </row>
    <row r="378" spans="5:10" x14ac:dyDescent="0.25">
      <c r="E378" s="55"/>
      <c r="F378" s="55"/>
      <c r="G378" s="67"/>
      <c r="H378" s="55"/>
      <c r="I378" s="55"/>
      <c r="J378" s="64"/>
    </row>
    <row r="379" spans="5:10" x14ac:dyDescent="0.25">
      <c r="E379" s="55"/>
      <c r="F379" s="55"/>
      <c r="G379" s="67"/>
      <c r="H379" s="55"/>
      <c r="I379" s="55"/>
      <c r="J379" s="64"/>
    </row>
    <row r="380" spans="5:10" x14ac:dyDescent="0.25">
      <c r="E380" s="55"/>
      <c r="F380" s="55"/>
      <c r="G380" s="67"/>
      <c r="H380" s="55"/>
      <c r="I380" s="55"/>
      <c r="J380" s="64"/>
    </row>
    <row r="381" spans="5:10" x14ac:dyDescent="0.25">
      <c r="E381" s="55"/>
      <c r="F381" s="55"/>
      <c r="G381" s="67"/>
      <c r="H381" s="55"/>
      <c r="I381" s="55"/>
      <c r="J381" s="64"/>
    </row>
    <row r="382" spans="5:10" x14ac:dyDescent="0.25">
      <c r="E382" s="55"/>
      <c r="F382" s="55"/>
      <c r="G382" s="67"/>
      <c r="H382" s="55"/>
      <c r="I382" s="55"/>
      <c r="J382" s="64"/>
    </row>
    <row r="383" spans="5:10" x14ac:dyDescent="0.25">
      <c r="E383" s="55"/>
      <c r="F383" s="55"/>
      <c r="G383" s="67"/>
      <c r="H383" s="55"/>
      <c r="I383" s="55"/>
      <c r="J383" s="64"/>
    </row>
    <row r="384" spans="5:10" x14ac:dyDescent="0.25">
      <c r="E384" s="55"/>
      <c r="F384" s="55"/>
      <c r="G384" s="67"/>
      <c r="H384" s="55"/>
      <c r="I384" s="55"/>
      <c r="J384" s="64"/>
    </row>
    <row r="385" spans="5:10" x14ac:dyDescent="0.25">
      <c r="E385" s="55"/>
      <c r="F385" s="55"/>
      <c r="G385" s="67"/>
      <c r="H385" s="55"/>
      <c r="I385" s="55"/>
      <c r="J385" s="64"/>
    </row>
    <row r="386" spans="5:10" x14ac:dyDescent="0.25">
      <c r="E386" s="55"/>
      <c r="F386" s="55"/>
      <c r="G386" s="67"/>
      <c r="H386" s="55"/>
      <c r="I386" s="55"/>
      <c r="J386" s="64"/>
    </row>
    <row r="387" spans="5:10" x14ac:dyDescent="0.25">
      <c r="E387" s="55"/>
      <c r="F387" s="55"/>
      <c r="G387" s="67"/>
      <c r="H387" s="55"/>
      <c r="I387" s="55"/>
      <c r="J387" s="64"/>
    </row>
    <row r="388" spans="5:10" x14ac:dyDescent="0.25">
      <c r="E388" s="55"/>
      <c r="F388" s="55"/>
      <c r="G388" s="67"/>
      <c r="H388" s="55"/>
      <c r="I388" s="55"/>
      <c r="J388" s="64"/>
    </row>
    <row r="389" spans="5:10" x14ac:dyDescent="0.25">
      <c r="E389" s="55"/>
      <c r="F389" s="55"/>
      <c r="G389" s="67"/>
      <c r="H389" s="55"/>
      <c r="I389" s="55"/>
      <c r="J389" s="64"/>
    </row>
    <row r="390" spans="5:10" x14ac:dyDescent="0.25">
      <c r="E390" s="55"/>
      <c r="F390" s="55"/>
      <c r="G390" s="67"/>
      <c r="H390" s="55"/>
      <c r="I390" s="55"/>
      <c r="J390" s="64"/>
    </row>
    <row r="391" spans="5:10" x14ac:dyDescent="0.25">
      <c r="E391" s="55"/>
      <c r="F391" s="55"/>
      <c r="G391" s="67"/>
      <c r="H391" s="55"/>
      <c r="I391" s="55"/>
      <c r="J391" s="64"/>
    </row>
    <row r="392" spans="5:10" x14ac:dyDescent="0.25">
      <c r="E392" s="55"/>
      <c r="F392" s="55"/>
      <c r="G392" s="67"/>
      <c r="H392" s="55"/>
      <c r="I392" s="55"/>
      <c r="J392" s="64"/>
    </row>
    <row r="393" spans="5:10" x14ac:dyDescent="0.25">
      <c r="E393" s="55"/>
      <c r="F393" s="55"/>
      <c r="G393" s="67"/>
      <c r="H393" s="55"/>
      <c r="I393" s="55"/>
      <c r="J393" s="64"/>
    </row>
    <row r="394" spans="5:10" x14ac:dyDescent="0.25">
      <c r="E394" s="55"/>
      <c r="F394" s="55"/>
      <c r="G394" s="67"/>
      <c r="H394" s="55"/>
      <c r="I394" s="55"/>
      <c r="J394" s="64"/>
    </row>
    <row r="395" spans="5:10" x14ac:dyDescent="0.25">
      <c r="E395" s="55"/>
      <c r="F395" s="55"/>
      <c r="G395" s="67"/>
      <c r="H395" s="55"/>
      <c r="I395" s="55"/>
      <c r="J395" s="64"/>
    </row>
    <row r="396" spans="5:10" x14ac:dyDescent="0.25">
      <c r="E396" s="55"/>
      <c r="F396" s="55"/>
      <c r="G396" s="67"/>
      <c r="H396" s="55"/>
      <c r="I396" s="55"/>
      <c r="J396" s="64"/>
    </row>
    <row r="397" spans="5:10" x14ac:dyDescent="0.25">
      <c r="E397" s="55"/>
      <c r="F397" s="55"/>
      <c r="G397" s="67"/>
      <c r="H397" s="55"/>
      <c r="I397" s="55"/>
      <c r="J397" s="64"/>
    </row>
    <row r="398" spans="5:10" x14ac:dyDescent="0.25">
      <c r="E398" s="55"/>
      <c r="F398" s="55"/>
      <c r="G398" s="67"/>
      <c r="H398" s="55"/>
      <c r="I398" s="55"/>
      <c r="J398" s="64"/>
    </row>
    <row r="399" spans="5:10" x14ac:dyDescent="0.25">
      <c r="E399" s="55"/>
      <c r="F399" s="55"/>
      <c r="G399" s="67"/>
      <c r="H399" s="55"/>
      <c r="I399" s="55"/>
      <c r="J399" s="64"/>
    </row>
    <row r="400" spans="5:10" x14ac:dyDescent="0.25">
      <c r="E400" s="55"/>
      <c r="F400" s="55"/>
      <c r="G400" s="67"/>
      <c r="H400" s="55"/>
      <c r="I400" s="55"/>
      <c r="J400" s="64"/>
    </row>
    <row r="401" spans="5:10" x14ac:dyDescent="0.25">
      <c r="E401" s="55"/>
      <c r="F401" s="55"/>
      <c r="G401" s="67"/>
      <c r="H401" s="55"/>
      <c r="I401" s="55"/>
      <c r="J401" s="64"/>
    </row>
    <row r="402" spans="5:10" x14ac:dyDescent="0.25">
      <c r="E402" s="55"/>
      <c r="F402" s="55"/>
      <c r="G402" s="67"/>
      <c r="H402" s="55"/>
      <c r="I402" s="55"/>
      <c r="J402" s="64"/>
    </row>
    <row r="403" spans="5:10" x14ac:dyDescent="0.25">
      <c r="E403" s="55"/>
      <c r="F403" s="55"/>
      <c r="G403" s="67"/>
      <c r="H403" s="55"/>
      <c r="I403" s="55"/>
      <c r="J403" s="64"/>
    </row>
    <row r="404" spans="5:10" x14ac:dyDescent="0.25">
      <c r="E404" s="55"/>
      <c r="F404" s="55"/>
      <c r="G404" s="67"/>
      <c r="H404" s="55"/>
      <c r="I404" s="55"/>
      <c r="J404" s="64"/>
    </row>
    <row r="405" spans="5:10" x14ac:dyDescent="0.25">
      <c r="E405" s="55"/>
      <c r="F405" s="55"/>
      <c r="G405" s="67"/>
      <c r="H405" s="55"/>
      <c r="I405" s="55"/>
      <c r="J405" s="64"/>
    </row>
    <row r="406" spans="5:10" x14ac:dyDescent="0.25">
      <c r="E406" s="55"/>
      <c r="F406" s="55"/>
      <c r="G406" s="67"/>
      <c r="H406" s="55"/>
      <c r="I406" s="55"/>
      <c r="J406" s="64"/>
    </row>
    <row r="407" spans="5:10" x14ac:dyDescent="0.25">
      <c r="E407" s="55"/>
      <c r="F407" s="55"/>
      <c r="G407" s="68"/>
      <c r="H407" s="55"/>
      <c r="I407" s="55"/>
      <c r="J407" s="64"/>
    </row>
    <row r="408" spans="5:10" x14ac:dyDescent="0.25">
      <c r="E408" s="55"/>
      <c r="F408" s="55"/>
      <c r="G408" s="68"/>
      <c r="H408" s="55"/>
      <c r="I408" s="55"/>
      <c r="J408" s="64"/>
    </row>
    <row r="409" spans="5:10" x14ac:dyDescent="0.25">
      <c r="E409" s="55"/>
      <c r="F409" s="55"/>
      <c r="G409" s="68"/>
      <c r="H409" s="55"/>
      <c r="I409" s="55"/>
      <c r="J409" s="64"/>
    </row>
    <row r="410" spans="5:10" x14ac:dyDescent="0.25">
      <c r="E410" s="55"/>
      <c r="F410" s="55"/>
      <c r="G410" s="68"/>
      <c r="H410" s="55"/>
      <c r="I410" s="55"/>
      <c r="J410" s="64"/>
    </row>
    <row r="411" spans="5:10" x14ac:dyDescent="0.25">
      <c r="E411" s="55"/>
      <c r="F411" s="55"/>
      <c r="G411" s="68"/>
      <c r="H411" s="55"/>
      <c r="I411" s="55"/>
      <c r="J411" s="64"/>
    </row>
    <row r="412" spans="5:10" x14ac:dyDescent="0.25">
      <c r="E412" s="55"/>
      <c r="F412" s="55"/>
      <c r="G412" s="68"/>
      <c r="H412" s="55"/>
      <c r="I412" s="55"/>
      <c r="J412" s="64"/>
    </row>
    <row r="413" spans="5:10" x14ac:dyDescent="0.25">
      <c r="E413" s="55"/>
      <c r="F413" s="55"/>
      <c r="G413" s="68"/>
      <c r="H413" s="55"/>
      <c r="I413" s="55"/>
      <c r="J413" s="64"/>
    </row>
    <row r="414" spans="5:10" x14ac:dyDescent="0.25">
      <c r="E414" s="55"/>
      <c r="F414" s="55"/>
      <c r="G414" s="68"/>
      <c r="H414" s="55"/>
      <c r="I414" s="55"/>
      <c r="J414" s="64"/>
    </row>
    <row r="415" spans="5:10" x14ac:dyDescent="0.25">
      <c r="E415" s="55"/>
      <c r="F415" s="55"/>
      <c r="G415" s="68"/>
      <c r="H415" s="55"/>
      <c r="I415" s="55"/>
      <c r="J415" s="64"/>
    </row>
    <row r="416" spans="5:10" x14ac:dyDescent="0.25">
      <c r="E416" s="55"/>
      <c r="F416" s="55"/>
      <c r="G416" s="68"/>
      <c r="H416" s="55"/>
      <c r="I416" s="55"/>
      <c r="J416" s="64"/>
    </row>
    <row r="417" spans="5:10" x14ac:dyDescent="0.25">
      <c r="E417" s="55"/>
      <c r="F417" s="55"/>
      <c r="G417" s="68"/>
      <c r="H417" s="55"/>
      <c r="I417" s="55"/>
      <c r="J417" s="64"/>
    </row>
    <row r="418" spans="5:10" x14ac:dyDescent="0.25">
      <c r="E418" s="55"/>
      <c r="F418" s="55"/>
      <c r="G418" s="68"/>
      <c r="H418" s="55"/>
      <c r="I418" s="55"/>
      <c r="J418" s="64"/>
    </row>
    <row r="419" spans="5:10" x14ac:dyDescent="0.25">
      <c r="E419" s="55"/>
      <c r="F419" s="55"/>
      <c r="G419" s="68"/>
      <c r="H419" s="55"/>
      <c r="I419" s="55"/>
      <c r="J419" s="64"/>
    </row>
    <row r="420" spans="5:10" x14ac:dyDescent="0.25">
      <c r="E420" s="55"/>
      <c r="F420" s="55"/>
      <c r="G420" s="65"/>
      <c r="H420" s="55"/>
      <c r="I420" s="55"/>
      <c r="J420" s="64"/>
    </row>
    <row r="421" spans="5:10" x14ac:dyDescent="0.25">
      <c r="E421" s="55"/>
      <c r="F421" s="55"/>
      <c r="G421" s="67"/>
      <c r="H421" s="55"/>
      <c r="I421" s="55"/>
      <c r="J421" s="64"/>
    </row>
    <row r="422" spans="5:10" x14ac:dyDescent="0.25">
      <c r="E422" s="55"/>
      <c r="F422" s="55"/>
      <c r="G422" s="67"/>
      <c r="H422" s="55"/>
      <c r="I422" s="55"/>
      <c r="J422" s="64"/>
    </row>
    <row r="423" spans="5:10" x14ac:dyDescent="0.25">
      <c r="E423" s="55"/>
      <c r="F423" s="55"/>
      <c r="G423" s="67"/>
      <c r="H423" s="55"/>
      <c r="I423" s="55"/>
      <c r="J423" s="64"/>
    </row>
    <row r="424" spans="5:10" x14ac:dyDescent="0.25">
      <c r="E424" s="55"/>
      <c r="F424" s="55"/>
      <c r="G424" s="67"/>
      <c r="H424" s="55"/>
      <c r="I424" s="55"/>
      <c r="J424" s="64"/>
    </row>
    <row r="425" spans="5:10" x14ac:dyDescent="0.25">
      <c r="E425" s="55"/>
      <c r="F425" s="55"/>
      <c r="G425" s="67"/>
      <c r="H425" s="55"/>
      <c r="I425" s="55"/>
      <c r="J425" s="64"/>
    </row>
    <row r="426" spans="5:10" x14ac:dyDescent="0.25">
      <c r="E426" s="55"/>
      <c r="F426" s="55"/>
      <c r="G426" s="67"/>
      <c r="H426" s="55"/>
      <c r="I426" s="55"/>
      <c r="J426" s="64"/>
    </row>
    <row r="427" spans="5:10" x14ac:dyDescent="0.25">
      <c r="E427" s="55"/>
      <c r="F427" s="55"/>
      <c r="G427" s="67"/>
      <c r="H427" s="55"/>
      <c r="I427" s="55"/>
      <c r="J427" s="64"/>
    </row>
    <row r="428" spans="5:10" x14ac:dyDescent="0.25">
      <c r="E428" s="55"/>
      <c r="F428" s="55"/>
      <c r="G428" s="67"/>
      <c r="H428" s="55"/>
      <c r="I428" s="55"/>
      <c r="J428" s="55"/>
    </row>
    <row r="429" spans="5:10" x14ac:dyDescent="0.25">
      <c r="E429" s="55"/>
      <c r="F429" s="55"/>
      <c r="G429" s="67"/>
      <c r="H429" s="55"/>
      <c r="I429" s="55"/>
      <c r="J429" s="55"/>
    </row>
    <row r="430" spans="5:10" x14ac:dyDescent="0.25">
      <c r="E430" s="55"/>
      <c r="F430" s="55"/>
      <c r="G430" s="67"/>
      <c r="H430" s="55"/>
      <c r="I430" s="55"/>
      <c r="J430" s="55"/>
    </row>
    <row r="431" spans="5:10" x14ac:dyDescent="0.25">
      <c r="E431" s="55"/>
      <c r="F431" s="55"/>
      <c r="G431" s="67"/>
      <c r="H431" s="55"/>
      <c r="I431" s="55"/>
      <c r="J431" s="55"/>
    </row>
    <row r="432" spans="5:10" x14ac:dyDescent="0.25">
      <c r="E432" s="55"/>
      <c r="F432" s="55"/>
      <c r="G432" s="67"/>
      <c r="H432" s="55"/>
      <c r="I432" s="55"/>
      <c r="J432" s="55"/>
    </row>
    <row r="433" spans="5:10" x14ac:dyDescent="0.25">
      <c r="E433" s="55"/>
      <c r="F433" s="55"/>
      <c r="G433" s="67"/>
      <c r="H433" s="55"/>
      <c r="I433" s="55"/>
      <c r="J433" s="55"/>
    </row>
    <row r="434" spans="5:10" x14ac:dyDescent="0.25">
      <c r="E434" s="55"/>
      <c r="F434" s="55"/>
      <c r="G434" s="67"/>
      <c r="H434" s="55"/>
      <c r="I434" s="55"/>
      <c r="J434" s="55"/>
    </row>
    <row r="435" spans="5:10" x14ac:dyDescent="0.25">
      <c r="E435" s="55"/>
      <c r="F435" s="55"/>
      <c r="G435" s="67"/>
      <c r="H435" s="55"/>
      <c r="I435" s="55"/>
      <c r="J435" s="55"/>
    </row>
    <row r="436" spans="5:10" x14ac:dyDescent="0.25">
      <c r="E436" s="55"/>
      <c r="F436" s="55"/>
      <c r="G436" s="67"/>
      <c r="H436" s="55"/>
      <c r="I436" s="55"/>
      <c r="J436" s="55"/>
    </row>
    <row r="437" spans="5:10" x14ac:dyDescent="0.25">
      <c r="E437" s="55"/>
      <c r="F437" s="55"/>
      <c r="G437" s="67"/>
      <c r="H437" s="55"/>
      <c r="I437" s="55"/>
      <c r="J437" s="55"/>
    </row>
    <row r="438" spans="5:10" x14ac:dyDescent="0.25">
      <c r="E438" s="55"/>
      <c r="F438" s="55"/>
      <c r="G438" s="67"/>
      <c r="H438" s="55"/>
      <c r="I438" s="55"/>
      <c r="J438" s="55"/>
    </row>
    <row r="439" spans="5:10" x14ac:dyDescent="0.25">
      <c r="E439" s="55"/>
      <c r="F439" s="55"/>
      <c r="G439" s="67"/>
      <c r="H439" s="55"/>
      <c r="I439" s="55"/>
      <c r="J439" s="55"/>
    </row>
    <row r="440" spans="5:10" x14ac:dyDescent="0.25">
      <c r="E440" s="55"/>
      <c r="F440" s="55"/>
      <c r="G440" s="67"/>
      <c r="H440" s="55"/>
      <c r="I440" s="55"/>
      <c r="J440" s="55"/>
    </row>
    <row r="441" spans="5:10" x14ac:dyDescent="0.25">
      <c r="E441" s="55"/>
      <c r="F441" s="55"/>
      <c r="G441" s="67"/>
      <c r="H441" s="55"/>
      <c r="I441" s="55"/>
      <c r="J441" s="55"/>
    </row>
    <row r="442" spans="5:10" x14ac:dyDescent="0.25">
      <c r="E442" s="55"/>
      <c r="F442" s="55"/>
      <c r="G442" s="67"/>
      <c r="H442" s="55"/>
      <c r="I442" s="55"/>
      <c r="J442" s="55"/>
    </row>
    <row r="443" spans="5:10" x14ac:dyDescent="0.25">
      <c r="E443" s="55"/>
      <c r="F443" s="55"/>
      <c r="G443" s="67"/>
      <c r="H443" s="55"/>
      <c r="I443" s="55"/>
      <c r="J443" s="55"/>
    </row>
    <row r="444" spans="5:10" x14ac:dyDescent="0.25">
      <c r="E444" s="55"/>
      <c r="F444" s="55"/>
      <c r="G444" s="67"/>
      <c r="H444" s="55"/>
      <c r="I444" s="55"/>
      <c r="J444" s="55"/>
    </row>
    <row r="445" spans="5:10" x14ac:dyDescent="0.25">
      <c r="E445" s="55"/>
      <c r="F445" s="55"/>
      <c r="G445" s="67"/>
      <c r="H445" s="55"/>
      <c r="I445" s="55"/>
      <c r="J445" s="55"/>
    </row>
    <row r="446" spans="5:10" x14ac:dyDescent="0.25">
      <c r="E446" s="55"/>
      <c r="F446" s="55"/>
      <c r="G446" s="67"/>
      <c r="H446" s="55"/>
      <c r="I446" s="55"/>
      <c r="J446" s="55"/>
    </row>
    <row r="447" spans="5:10" x14ac:dyDescent="0.25">
      <c r="E447" s="55"/>
      <c r="F447" s="55"/>
      <c r="G447" s="66"/>
      <c r="H447" s="55"/>
      <c r="I447" s="55"/>
      <c r="J447" s="55"/>
    </row>
    <row r="448" spans="5:10" x14ac:dyDescent="0.25">
      <c r="E448" s="55"/>
      <c r="F448" s="55"/>
      <c r="G448" s="66"/>
      <c r="H448" s="55"/>
      <c r="I448" s="55"/>
      <c r="J448" s="55"/>
    </row>
    <row r="449" spans="5:10" x14ac:dyDescent="0.25">
      <c r="E449" s="55"/>
      <c r="F449" s="55"/>
      <c r="G449" s="66"/>
      <c r="H449" s="55"/>
      <c r="I449" s="55"/>
      <c r="J449" s="55"/>
    </row>
    <row r="450" spans="5:10" x14ac:dyDescent="0.25">
      <c r="E450" s="55"/>
      <c r="F450" s="55"/>
      <c r="G450" s="65"/>
      <c r="H450" s="55"/>
      <c r="I450" s="55"/>
      <c r="J450" s="55"/>
    </row>
    <row r="451" spans="5:10" x14ac:dyDescent="0.25">
      <c r="E451" s="55"/>
      <c r="F451" s="55"/>
      <c r="G451" s="65"/>
      <c r="H451" s="55"/>
      <c r="I451" s="55"/>
      <c r="J451" s="55"/>
    </row>
    <row r="452" spans="5:10" x14ac:dyDescent="0.25">
      <c r="E452" s="55"/>
      <c r="F452" s="55"/>
      <c r="G452" s="65"/>
      <c r="H452" s="55"/>
      <c r="I452" s="55"/>
      <c r="J452" s="55"/>
    </row>
    <row r="453" spans="5:10" x14ac:dyDescent="0.25">
      <c r="E453" s="55"/>
      <c r="F453" s="55"/>
      <c r="G453" s="65"/>
      <c r="H453" s="55"/>
      <c r="I453" s="55"/>
      <c r="J453" s="55"/>
    </row>
    <row r="454" spans="5:10" x14ac:dyDescent="0.25">
      <c r="E454" s="55"/>
      <c r="F454" s="55"/>
      <c r="G454" s="65"/>
      <c r="H454" s="55"/>
      <c r="I454" s="55"/>
      <c r="J454" s="55"/>
    </row>
    <row r="455" spans="5:10" x14ac:dyDescent="0.25">
      <c r="E455" s="55"/>
      <c r="F455" s="55"/>
      <c r="G455" s="65"/>
      <c r="H455" s="55"/>
      <c r="I455" s="55"/>
      <c r="J455" s="55"/>
    </row>
    <row r="456" spans="5:10" x14ac:dyDescent="0.25">
      <c r="E456" s="55"/>
      <c r="F456" s="55"/>
      <c r="G456" s="65"/>
      <c r="H456" s="55"/>
      <c r="I456" s="55"/>
      <c r="J456" s="55"/>
    </row>
    <row r="457" spans="5:10" x14ac:dyDescent="0.25">
      <c r="E457" s="55"/>
      <c r="F457" s="55"/>
      <c r="G457" s="65"/>
      <c r="H457" s="55"/>
      <c r="I457" s="55"/>
      <c r="J457" s="55"/>
    </row>
    <row r="458" spans="5:10" x14ac:dyDescent="0.25">
      <c r="E458" s="55"/>
      <c r="F458" s="55"/>
      <c r="G458" s="65"/>
      <c r="H458" s="55"/>
      <c r="I458" s="55"/>
      <c r="J458" s="55"/>
    </row>
    <row r="459" spans="5:10" x14ac:dyDescent="0.25">
      <c r="E459" s="55"/>
      <c r="F459" s="55"/>
      <c r="G459" s="65"/>
      <c r="H459" s="55"/>
      <c r="I459" s="55"/>
      <c r="J459" s="55"/>
    </row>
    <row r="460" spans="5:10" x14ac:dyDescent="0.25">
      <c r="E460" s="55"/>
      <c r="F460" s="55"/>
      <c r="G460" s="65"/>
      <c r="H460" s="55"/>
      <c r="I460" s="55"/>
      <c r="J460" s="55"/>
    </row>
    <row r="461" spans="5:10" x14ac:dyDescent="0.25">
      <c r="E461" s="55"/>
      <c r="F461" s="55"/>
      <c r="G461" s="65"/>
      <c r="H461" s="55"/>
      <c r="I461" s="55"/>
      <c r="J461" s="55"/>
    </row>
    <row r="462" spans="5:10" x14ac:dyDescent="0.25">
      <c r="E462" s="55"/>
      <c r="F462" s="55"/>
      <c r="G462" s="65"/>
      <c r="H462" s="55"/>
      <c r="I462" s="55"/>
      <c r="J462" s="55"/>
    </row>
    <row r="463" spans="5:10" x14ac:dyDescent="0.25">
      <c r="E463" s="55"/>
      <c r="F463" s="55"/>
      <c r="G463" s="65"/>
      <c r="H463" s="55"/>
      <c r="I463" s="55"/>
      <c r="J463" s="55"/>
    </row>
    <row r="464" spans="5:10" x14ac:dyDescent="0.25">
      <c r="E464" s="55"/>
      <c r="F464" s="55"/>
      <c r="G464" s="65"/>
      <c r="H464" s="55"/>
      <c r="I464" s="55"/>
      <c r="J464" s="55"/>
    </row>
    <row r="465" spans="5:10" x14ac:dyDescent="0.25">
      <c r="E465" s="55"/>
      <c r="F465" s="55"/>
      <c r="G465" s="65"/>
      <c r="H465" s="55"/>
      <c r="I465" s="55"/>
      <c r="J465" s="55"/>
    </row>
    <row r="466" spans="5:10" x14ac:dyDescent="0.25">
      <c r="E466" s="55"/>
      <c r="F466" s="55"/>
      <c r="G466" s="65"/>
      <c r="H466" s="55"/>
      <c r="I466" s="55"/>
      <c r="J466" s="55"/>
    </row>
    <row r="467" spans="5:10" x14ac:dyDescent="0.25">
      <c r="E467" s="55"/>
      <c r="F467" s="55"/>
      <c r="G467" s="65"/>
      <c r="H467" s="55"/>
      <c r="I467" s="55"/>
      <c r="J467" s="55"/>
    </row>
    <row r="468" spans="5:10" x14ac:dyDescent="0.25">
      <c r="E468" s="55"/>
      <c r="F468" s="55"/>
      <c r="G468" s="65"/>
      <c r="H468" s="55"/>
      <c r="I468" s="55"/>
      <c r="J468" s="55"/>
    </row>
  </sheetData>
  <autoFilter ref="A2:R452" xr:uid="{00000000-0009-0000-0000-000000000000}"/>
  <mergeCells count="4">
    <mergeCell ref="M12:R12"/>
    <mergeCell ref="M19:O19"/>
    <mergeCell ref="A1:J1"/>
    <mergeCell ref="S12:Y12"/>
  </mergeCells>
  <phoneticPr fontId="2" type="noConversion"/>
  <conditionalFormatting sqref="F1 F76:F1048576 F4:F74">
    <cfRule type="cellIs" dxfId="4" priority="6" operator="equal">
      <formula>"S"</formula>
    </cfRule>
  </conditionalFormatting>
  <conditionalFormatting sqref="Y14:Y19">
    <cfRule type="cellIs" dxfId="3" priority="4" operator="lessThan">
      <formula>0.4</formula>
    </cfRule>
  </conditionalFormatting>
  <conditionalFormatting sqref="E3:E1048576">
    <cfRule type="cellIs" dxfId="2" priority="2" operator="greaterThan">
      <formula>500</formula>
    </cfRule>
    <cfRule type="cellIs" dxfId="1" priority="1" operator="greaterThan">
      <formula>330</formula>
    </cfRule>
  </conditionalFormatting>
  <pageMargins left="0.7" right="0.7" top="0.75" bottom="0.75" header="0.3" footer="0.3"/>
  <pageSetup paperSize="9" scale="45" orientation="portrait" r:id="rId1"/>
  <headerFooter>
    <oddHeader>&amp;L&amp;20&amp;G&amp;C&amp;"-,Bold"&amp;20FIBER OPTICAL DESIGN BY TRANSMISSION DEPARTMENT</oddHeader>
    <oddFooter>&amp;L&amp;"-,Bold"REALIZADO: &amp;"-,Regular"&amp;D  &amp;T&amp;R&amp;P</oddFooter>
  </headerFooter>
  <colBreaks count="1" manualBreakCount="1">
    <brk id="11" min="1" max="293" man="1"/>
  </col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Button 1">
              <controlPr defaultSize="0" print="0" autoFill="0" autoPict="0" macro="[0]!CalcularAngulosDistanciasYClasificacion">
                <anchor moveWithCells="1" sizeWithCells="1">
                  <from>
                    <xdr:col>12</xdr:col>
                    <xdr:colOff>57150</xdr:colOff>
                    <xdr:row>3</xdr:row>
                    <xdr:rowOff>104775</xdr:rowOff>
                  </from>
                  <to>
                    <xdr:col>14</xdr:col>
                    <xdr:colOff>542925</xdr:colOff>
                    <xdr:row>6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AX3"/>
  <sheetViews>
    <sheetView zoomScaleNormal="100" workbookViewId="0">
      <selection activeCell="A3" sqref="A3"/>
    </sheetView>
  </sheetViews>
  <sheetFormatPr baseColWidth="10" defaultColWidth="11.42578125" defaultRowHeight="15" x14ac:dyDescent="0.25"/>
  <cols>
    <col min="6" max="6" width="12" bestFit="1" customWidth="1"/>
    <col min="34" max="34" width="12" bestFit="1" customWidth="1"/>
  </cols>
  <sheetData>
    <row r="1" spans="1:50" ht="63.75" x14ac:dyDescent="0.25">
      <c r="A1" s="57" t="s">
        <v>94</v>
      </c>
      <c r="B1" s="56" t="s">
        <v>95</v>
      </c>
      <c r="C1" s="56" t="s">
        <v>42</v>
      </c>
      <c r="D1" s="56" t="s">
        <v>96</v>
      </c>
      <c r="E1" s="60" t="s">
        <v>97</v>
      </c>
      <c r="F1" s="60" t="s">
        <v>98</v>
      </c>
      <c r="G1" s="56" t="s">
        <v>99</v>
      </c>
      <c r="H1" s="58" t="s">
        <v>100</v>
      </c>
      <c r="I1" s="58" t="s">
        <v>101</v>
      </c>
      <c r="J1" s="58" t="s">
        <v>102</v>
      </c>
      <c r="K1" s="58" t="s">
        <v>103</v>
      </c>
      <c r="L1" s="59" t="s">
        <v>104</v>
      </c>
      <c r="M1" s="59" t="s">
        <v>105</v>
      </c>
      <c r="N1" s="59" t="s">
        <v>106</v>
      </c>
      <c r="O1" s="59" t="s">
        <v>107</v>
      </c>
      <c r="P1" s="61" t="s">
        <v>108</v>
      </c>
      <c r="Q1" s="61" t="s">
        <v>109</v>
      </c>
      <c r="R1" s="61" t="s">
        <v>110</v>
      </c>
      <c r="S1" s="61" t="s">
        <v>111</v>
      </c>
      <c r="T1" s="59" t="s">
        <v>112</v>
      </c>
      <c r="U1" s="59" t="s">
        <v>113</v>
      </c>
      <c r="V1" s="59" t="s">
        <v>114</v>
      </c>
      <c r="W1" s="59" t="s">
        <v>115</v>
      </c>
      <c r="X1" s="59" t="s">
        <v>116</v>
      </c>
      <c r="Y1" s="61" t="s">
        <v>117</v>
      </c>
      <c r="Z1" s="61" t="s">
        <v>118</v>
      </c>
      <c r="AA1" s="61" t="s">
        <v>119</v>
      </c>
      <c r="AB1" s="61" t="s">
        <v>120</v>
      </c>
      <c r="AC1" s="61" t="s">
        <v>121</v>
      </c>
      <c r="AD1" s="61" t="s">
        <v>122</v>
      </c>
      <c r="AE1" s="61" t="s">
        <v>123</v>
      </c>
      <c r="AF1" s="61" t="s">
        <v>124</v>
      </c>
      <c r="AG1" s="61" t="s">
        <v>125</v>
      </c>
      <c r="AH1" s="61" t="s">
        <v>126</v>
      </c>
      <c r="AI1" s="61" t="s">
        <v>127</v>
      </c>
      <c r="AJ1" s="61" t="s">
        <v>128</v>
      </c>
      <c r="AK1" s="61" t="s">
        <v>129</v>
      </c>
      <c r="AL1" s="61" t="s">
        <v>130</v>
      </c>
      <c r="AM1" s="59" t="s">
        <v>131</v>
      </c>
      <c r="AN1" s="59" t="s">
        <v>132</v>
      </c>
      <c r="AO1" s="59" t="s">
        <v>133</v>
      </c>
      <c r="AP1" s="59" t="s">
        <v>134</v>
      </c>
      <c r="AQ1" s="59" t="s">
        <v>135</v>
      </c>
      <c r="AR1" s="59" t="s">
        <v>136</v>
      </c>
      <c r="AS1" s="59" t="s">
        <v>137</v>
      </c>
      <c r="AT1" s="59" t="s">
        <v>138</v>
      </c>
      <c r="AU1" s="59" t="s">
        <v>139</v>
      </c>
      <c r="AV1" s="59" t="s">
        <v>140</v>
      </c>
      <c r="AW1" s="58" t="s">
        <v>141</v>
      </c>
      <c r="AX1" s="58" t="s">
        <v>142</v>
      </c>
    </row>
    <row r="2" spans="1:50" hidden="1" x14ac:dyDescent="0.25">
      <c r="L2" t="s">
        <v>10</v>
      </c>
      <c r="M2" t="s">
        <v>19</v>
      </c>
      <c r="N2" s="62" t="s">
        <v>15</v>
      </c>
      <c r="O2" t="s">
        <v>21</v>
      </c>
      <c r="P2" s="62" t="s">
        <v>15</v>
      </c>
      <c r="Q2" s="62" t="s">
        <v>15</v>
      </c>
      <c r="R2" s="62" t="s">
        <v>15</v>
      </c>
      <c r="S2" s="62" t="s">
        <v>15</v>
      </c>
      <c r="T2" s="62" t="s">
        <v>15</v>
      </c>
      <c r="U2" s="62" t="s">
        <v>15</v>
      </c>
      <c r="V2" s="62" t="s">
        <v>15</v>
      </c>
      <c r="W2" s="62" t="s">
        <v>15</v>
      </c>
      <c r="X2" s="62" t="s">
        <v>15</v>
      </c>
      <c r="Y2" s="62" t="s">
        <v>16</v>
      </c>
      <c r="Z2" s="62" t="s">
        <v>16</v>
      </c>
      <c r="AA2" s="62" t="s">
        <v>16</v>
      </c>
      <c r="AB2" s="62" t="s">
        <v>16</v>
      </c>
      <c r="AC2" s="62" t="s">
        <v>17</v>
      </c>
      <c r="AD2" s="62" t="s">
        <v>17</v>
      </c>
    </row>
    <row r="3" spans="1:50" x14ac:dyDescent="0.25">
      <c r="A3" s="4"/>
      <c r="B3" s="4"/>
      <c r="C3" s="4"/>
      <c r="D3" s="4"/>
      <c r="E3" s="4"/>
      <c r="F3" s="63">
        <f>SUM('Fiber design'!P14:P18)</f>
        <v>0</v>
      </c>
      <c r="G3" s="63">
        <f>SUM('Fiber design'!P14:P18)</f>
        <v>0</v>
      </c>
      <c r="H3" s="4"/>
      <c r="I3" s="4"/>
      <c r="J3" s="4"/>
      <c r="K3" s="4"/>
      <c r="L3" s="63" t="s">
        <v>143</v>
      </c>
      <c r="M3" s="4" t="s">
        <v>143</v>
      </c>
      <c r="N3" s="63">
        <f>HLOOKUP(N2,'Fiber design'!$M$13:$R$18,5,0)</f>
        <v>0</v>
      </c>
      <c r="O3" s="4" t="s">
        <v>143</v>
      </c>
      <c r="P3" s="63" t="s">
        <v>143</v>
      </c>
      <c r="Q3" s="63" t="s">
        <v>143</v>
      </c>
      <c r="R3" s="63" t="s">
        <v>143</v>
      </c>
      <c r="S3" s="63">
        <f>HLOOKUP(S2,'Fiber design'!$M$13:$R$18,6,0)</f>
        <v>0</v>
      </c>
      <c r="T3" s="63">
        <f>HLOOKUP(T2,'Fiber design'!$M$13:$R$18,2,0)</f>
        <v>0</v>
      </c>
      <c r="U3" s="63">
        <f>HLOOKUP(U2,'Fiber design'!$M$13:$R$18,3,0)</f>
        <v>0</v>
      </c>
      <c r="V3" s="63">
        <f>HLOOKUP(V2,'Fiber design'!$M$13:$R$18,4,0)</f>
        <v>0</v>
      </c>
      <c r="W3" s="63" t="s">
        <v>143</v>
      </c>
      <c r="X3" s="63" t="s">
        <v>143</v>
      </c>
      <c r="Y3" s="63">
        <f>HLOOKUP(Y2,'Fiber design'!$M$13:$R$18,3,0)</f>
        <v>0</v>
      </c>
      <c r="Z3" s="63">
        <f>HLOOKUP(Z2,'Fiber design'!$M$13:$R$18,4,0)</f>
        <v>0</v>
      </c>
      <c r="AA3" s="63">
        <f>HLOOKUP(AA2,'Fiber design'!$M$13:$R$18,5,0)</f>
        <v>0</v>
      </c>
      <c r="AB3" s="63">
        <f>HLOOKUP(AB2,'Fiber design'!$M$13:$R$18,6,0)*2</f>
        <v>0</v>
      </c>
      <c r="AC3" s="63">
        <f>HLOOKUP(AC2,'Fiber design'!$M$13:$R$18,2,0)</f>
        <v>0</v>
      </c>
      <c r="AD3" s="63">
        <f>HLOOKUP(AD2,'Fiber design'!$M$13:$R$18,3,0)</f>
        <v>0</v>
      </c>
      <c r="AE3" s="4" t="s">
        <v>143</v>
      </c>
      <c r="AF3" s="63">
        <f>2*SUM('Fiber design'!Q14:Q15)+SUM('Fiber design'!R14:R15)</f>
        <v>0</v>
      </c>
      <c r="AG3" s="4" t="s">
        <v>143</v>
      </c>
      <c r="AH3" s="63">
        <f>SUM('Fiber design'!Q16:Q18)</f>
        <v>0</v>
      </c>
      <c r="AI3" s="63">
        <f>2.4*AF3/1.4</f>
        <v>0</v>
      </c>
      <c r="AJ3" s="4">
        <f>COUNTIF('Fiber design'!H3:H1048576,"MX")</f>
        <v>0</v>
      </c>
      <c r="AK3" s="4">
        <f>AJ3</f>
        <v>0</v>
      </c>
      <c r="AL3" s="63">
        <f>AH3*2</f>
        <v>0</v>
      </c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Z21"/>
  <sheetViews>
    <sheetView zoomScale="85" zoomScaleNormal="85" workbookViewId="0">
      <selection activeCell="K22" sqref="K22"/>
    </sheetView>
  </sheetViews>
  <sheetFormatPr baseColWidth="10" defaultColWidth="9" defaultRowHeight="15" x14ac:dyDescent="0.25"/>
  <cols>
    <col min="3" max="3" width="19.28515625" customWidth="1"/>
    <col min="16" max="16" width="11.42578125" customWidth="1"/>
    <col min="21" max="21" width="12" customWidth="1"/>
    <col min="22" max="22" width="11.5703125" bestFit="1" customWidth="1"/>
    <col min="24" max="24" width="10.140625" bestFit="1" customWidth="1"/>
    <col min="26" max="26" width="14" customWidth="1"/>
  </cols>
  <sheetData>
    <row r="2" spans="2:26" ht="26.25" customHeight="1" x14ac:dyDescent="0.25">
      <c r="Q2" s="83" t="s">
        <v>38</v>
      </c>
      <c r="R2" s="84"/>
      <c r="S2" s="84"/>
      <c r="T2" s="84"/>
      <c r="U2" s="85"/>
    </row>
    <row r="3" spans="2:26" ht="15.75" x14ac:dyDescent="0.25">
      <c r="P3" s="4"/>
      <c r="Q3" s="49" t="s">
        <v>18</v>
      </c>
      <c r="R3" s="49" t="s">
        <v>10</v>
      </c>
      <c r="S3" s="49" t="s">
        <v>19</v>
      </c>
      <c r="T3" s="49" t="s">
        <v>20</v>
      </c>
      <c r="U3" s="49" t="s">
        <v>21</v>
      </c>
    </row>
    <row r="4" spans="2:26" ht="15.75" x14ac:dyDescent="0.25">
      <c r="C4" t="b">
        <f>OR(ISNUMBER(FIND("MX",'Fiber design'!A1)),ISNUMBER(FIND("Mx",'Fiber design'!A1)),ISNUMBER(FIND("mx",'Fiber design'!A1)))</f>
        <v>0</v>
      </c>
      <c r="P4" s="49" t="s">
        <v>39</v>
      </c>
      <c r="Q4" s="9">
        <f>COUNTIFS('Fiber design'!G:G,'Original checklist'!$Q$8,'Fiber design'!A:A,"&lt;&gt;")</f>
        <v>0</v>
      </c>
      <c r="R4" s="9">
        <f>COUNTIFS('Fiber design'!G:G,'Original checklist'!$R$8,'Fiber design'!A:A,"&lt;&gt;")</f>
        <v>0</v>
      </c>
      <c r="S4" s="9">
        <f>COUNTIFS('Fiber design'!G:G,'Original checklist'!$S$8,'Fiber design'!A:A,"&lt;&gt;")</f>
        <v>0</v>
      </c>
      <c r="T4" s="9">
        <f>COUNTIFS('Fiber design'!G:G,'Original checklist'!$T$8,'Fiber design'!A:A,"&lt;&gt;")</f>
        <v>0</v>
      </c>
      <c r="U4" s="9">
        <f>COUNTIFS('Fiber design'!G:G,'Original checklist'!$U$8,'Fiber design'!A:A,"&lt;&gt;")</f>
        <v>0</v>
      </c>
    </row>
    <row r="5" spans="2:26" ht="15.75" x14ac:dyDescent="0.25">
      <c r="P5" s="49" t="s">
        <v>40</v>
      </c>
      <c r="Q5" s="9">
        <f>SUMIFS('Fiber design'!E:E,'Fiber design'!G:G,'Original checklist'!$Q$8)</f>
        <v>0</v>
      </c>
      <c r="R5" s="9">
        <f>SUMIFS('Fiber design'!E:E,'Fiber design'!G:G,'Original checklist'!$R$8)</f>
        <v>0</v>
      </c>
      <c r="S5" s="9">
        <f>SUMIFS('Fiber design'!E:E,'Fiber design'!G:G,'Original checklist'!$S$8)</f>
        <v>0</v>
      </c>
      <c r="T5" s="9">
        <f>SUMIFS('Fiber design'!E:E,'Fiber design'!G:G,'Original checklist'!$T$8)</f>
        <v>0</v>
      </c>
      <c r="U5" s="9">
        <f>SUMIFS('Fiber design'!E:E,'Fiber design'!G:G,'Original checklist'!$U$8)</f>
        <v>0</v>
      </c>
    </row>
    <row r="6" spans="2:26" ht="31.5" x14ac:dyDescent="0.25">
      <c r="P6" s="49" t="s">
        <v>41</v>
      </c>
      <c r="Q6" s="9">
        <f>ROUNDUP(Q5*1.1,0)</f>
        <v>0</v>
      </c>
      <c r="R6" s="9">
        <f>ROUNDUP(R5*1.1,0)</f>
        <v>0</v>
      </c>
      <c r="S6" s="9">
        <f>ROUNDUP(S5*1.1,0)</f>
        <v>0</v>
      </c>
      <c r="T6" s="9">
        <f>ROUNDUP(T5*1.1,0)</f>
        <v>0</v>
      </c>
      <c r="U6" s="9">
        <f>ROUNDUP(U5*1.1,0)</f>
        <v>0</v>
      </c>
    </row>
    <row r="7" spans="2:26" ht="16.5" thickBot="1" x14ac:dyDescent="0.3">
      <c r="P7" s="19" t="s">
        <v>42</v>
      </c>
      <c r="Q7" s="17">
        <f>IFERROR(IF(AND(Q6/Q4&gt;=0, Q6/Q4&lt;60), "30",IF(AND(Q6/Q4&gt;=60, Q6/Q4&lt;80), "60",IF(AND(Q6/Q4&gt;=80, Q6/Q4&lt;100),"80","100"))),0)</f>
        <v>0</v>
      </c>
      <c r="R7" s="17">
        <v>200</v>
      </c>
      <c r="S7" s="17">
        <v>300</v>
      </c>
      <c r="T7" s="17">
        <f>IFERROR(IF(T6/T4&lt;500,"400","500"),0)</f>
        <v>0</v>
      </c>
      <c r="U7" s="17">
        <v>500</v>
      </c>
    </row>
    <row r="8" spans="2:26" ht="32.25" thickBot="1" x14ac:dyDescent="0.3">
      <c r="B8" s="86" t="s">
        <v>43</v>
      </c>
      <c r="C8" s="86"/>
      <c r="D8" s="83"/>
      <c r="E8" s="15" t="s">
        <v>44</v>
      </c>
      <c r="F8" s="25" t="s">
        <v>45</v>
      </c>
      <c r="G8" s="41" t="s">
        <v>46</v>
      </c>
      <c r="H8" s="26" t="s">
        <v>47</v>
      </c>
      <c r="I8" s="15" t="s">
        <v>48</v>
      </c>
      <c r="J8" s="25" t="s">
        <v>49</v>
      </c>
      <c r="K8" s="25" t="s">
        <v>50</v>
      </c>
      <c r="L8" s="26" t="s">
        <v>51</v>
      </c>
      <c r="M8" s="16" t="s">
        <v>52</v>
      </c>
      <c r="N8" s="15" t="s">
        <v>53</v>
      </c>
      <c r="O8" s="26" t="s">
        <v>54</v>
      </c>
      <c r="P8" s="16" t="s">
        <v>55</v>
      </c>
      <c r="Q8" s="15" t="s">
        <v>18</v>
      </c>
      <c r="R8" s="15" t="s">
        <v>10</v>
      </c>
      <c r="S8" s="15" t="s">
        <v>19</v>
      </c>
      <c r="T8" s="15" t="s">
        <v>20</v>
      </c>
      <c r="U8" s="16" t="s">
        <v>21</v>
      </c>
      <c r="V8" s="29" t="s">
        <v>18</v>
      </c>
      <c r="W8" s="29" t="s">
        <v>10</v>
      </c>
      <c r="X8" s="29" t="s">
        <v>19</v>
      </c>
      <c r="Y8" s="29" t="s">
        <v>20</v>
      </c>
      <c r="Z8" s="30" t="s">
        <v>21</v>
      </c>
    </row>
    <row r="9" spans="2:26" ht="33.75" customHeight="1" x14ac:dyDescent="0.25">
      <c r="B9" s="87" t="s">
        <v>56</v>
      </c>
      <c r="C9" s="88"/>
      <c r="D9" s="88"/>
      <c r="E9" s="20" t="s">
        <v>57</v>
      </c>
      <c r="F9" s="21" t="s">
        <v>57</v>
      </c>
      <c r="G9" s="21" t="s">
        <v>57</v>
      </c>
      <c r="H9" s="22" t="s">
        <v>57</v>
      </c>
      <c r="I9" s="23" t="s">
        <v>57</v>
      </c>
      <c r="J9" s="21" t="s">
        <v>57</v>
      </c>
      <c r="K9" s="21" t="s">
        <v>57</v>
      </c>
      <c r="L9" s="22" t="s">
        <v>57</v>
      </c>
      <c r="M9" s="24" t="s">
        <v>57</v>
      </c>
      <c r="N9" s="23" t="s">
        <v>57</v>
      </c>
      <c r="O9" s="22" t="s">
        <v>57</v>
      </c>
      <c r="P9" s="24" t="s">
        <v>57</v>
      </c>
      <c r="Q9" s="18">
        <f>ROUNDUP((ROUNDUP(Q6/2750,0)*100+Q6*1.05)/1000,1)</f>
        <v>0</v>
      </c>
      <c r="R9" s="18">
        <f>ROUNDUP((ROUNDUP(R6/2750,0)*100+R6*1.05)/1000,1)</f>
        <v>0</v>
      </c>
      <c r="S9" s="18">
        <f>ROUNDUP((ROUNDUP(S6/2750,0)*100+S6*1.05)/1000,1)</f>
        <v>0</v>
      </c>
      <c r="T9" s="18">
        <f>ROUNDUP((ROUNDUP(T6/2750,0)*100+T6*1.05)/1000,1)</f>
        <v>0</v>
      </c>
      <c r="U9" s="18">
        <f>ROUNDUP((ROUNDUP(U6/2750,0)*100+U6*1.05)/1000,1)</f>
        <v>0</v>
      </c>
      <c r="V9" s="27">
        <f>Q9</f>
        <v>0</v>
      </c>
      <c r="W9" s="27">
        <f>R9</f>
        <v>0</v>
      </c>
      <c r="X9" s="27">
        <f>S9</f>
        <v>0</v>
      </c>
      <c r="Y9" s="27">
        <f>T9</f>
        <v>0</v>
      </c>
      <c r="Z9" s="27">
        <f>U9</f>
        <v>0</v>
      </c>
    </row>
    <row r="10" spans="2:26" x14ac:dyDescent="0.25">
      <c r="B10" s="5">
        <v>1</v>
      </c>
      <c r="C10" s="5" t="s">
        <v>17</v>
      </c>
      <c r="D10" s="7" t="s">
        <v>58</v>
      </c>
      <c r="E10" s="10">
        <v>79</v>
      </c>
      <c r="F10" s="8">
        <v>40</v>
      </c>
      <c r="G10" s="50">
        <v>28</v>
      </c>
      <c r="H10" s="9">
        <v>20</v>
      </c>
      <c r="I10" s="10">
        <v>19</v>
      </c>
      <c r="J10" s="11">
        <v>14</v>
      </c>
      <c r="K10" s="11">
        <v>12</v>
      </c>
      <c r="L10" s="12">
        <v>10</v>
      </c>
      <c r="M10" s="13">
        <v>0</v>
      </c>
      <c r="N10" s="10">
        <v>0</v>
      </c>
      <c r="O10" s="9">
        <v>0</v>
      </c>
      <c r="P10" s="13">
        <v>0</v>
      </c>
      <c r="Q10" s="9">
        <f>IF($Q$7="30",ROUNDUP(($Q$9/3*E10)*1.07,0),IF($Q$7="60",ROUNDUP(($Q$9/3*F10)*1.07,0),IF($Q$7="80",ROUNDUP(($Q$9/3*G10)*1.07,0),ROUNDUP(($Q$9/3*H10)*1.07,0))))</f>
        <v>0</v>
      </c>
      <c r="R10" s="9">
        <f>IF($R$7="120",ROUNDUP(($R$9/3*I10)*1.07,0),IF($R$7="160",ROUNDUP(($R$9/3*J10)*1.07,0),IF($R$7="180",ROUNDUP(($R$9/3*K10)*1.07,0),ROUNDUP(($R$9/3*L10)*1.07,0))))</f>
        <v>0</v>
      </c>
      <c r="S10" s="9">
        <f>ROUNDUP(($S$9/3*M10)*1.07,0)</f>
        <v>0</v>
      </c>
      <c r="T10" s="9">
        <f>IF($T$7="400",ROUNDUP(($T$9/3*N10)*1.05,0),ROUNDUP(($T$9/3*O10)*1.05,0))</f>
        <v>0</v>
      </c>
      <c r="U10" s="51">
        <f>ROUNDUP(($U$9/3*P10)*1.05,0)</f>
        <v>0</v>
      </c>
      <c r="V10" s="13">
        <f>ROUNDUP(COUNTIFS('Fiber design'!G:G,'Original checklist'!$V$8,'Fiber design'!F:F,"S")*1.07,0)</f>
        <v>0</v>
      </c>
      <c r="W10" s="13">
        <f>ROUNDUP(COUNTIFS('Fiber design'!G:G,'Original checklist'!$W$8,'Fiber design'!F:F,"S")*1.07,0)</f>
        <v>0</v>
      </c>
      <c r="X10" s="36">
        <v>0</v>
      </c>
      <c r="Y10" s="36">
        <v>0</v>
      </c>
      <c r="Z10" s="13">
        <v>0</v>
      </c>
    </row>
    <row r="11" spans="2:26" ht="42" customHeight="1" x14ac:dyDescent="0.25">
      <c r="B11" s="5">
        <v>2</v>
      </c>
      <c r="C11" s="5" t="s">
        <v>59</v>
      </c>
      <c r="D11" s="6" t="s">
        <v>58</v>
      </c>
      <c r="E11" s="14">
        <v>24</v>
      </c>
      <c r="F11" s="50">
        <v>12</v>
      </c>
      <c r="G11" s="50">
        <v>12</v>
      </c>
      <c r="H11" s="9">
        <v>12</v>
      </c>
      <c r="I11" s="10">
        <f>ROUNDUP(6*1.07,0)</f>
        <v>7</v>
      </c>
      <c r="J11" s="50">
        <f>ROUNDUP(6*1.07,0)</f>
        <v>7</v>
      </c>
      <c r="K11" s="50">
        <f>ROUNDUP(6*1.07,0)</f>
        <v>7</v>
      </c>
      <c r="L11" s="9">
        <f>ROUNDUP(6*1.07,0)</f>
        <v>7</v>
      </c>
      <c r="M11" s="13">
        <v>12</v>
      </c>
      <c r="N11" s="10">
        <v>10</v>
      </c>
      <c r="O11" s="9">
        <v>8</v>
      </c>
      <c r="P11" s="13">
        <v>8</v>
      </c>
      <c r="Q11" s="9">
        <f>IF($Q$7="30",ROUNDUP(($Q$9/3*E11)*1.07,0),IF($Q$7="60",ROUNDUP(($Q$9/3*F11)*1.07,0),IF($Q$7="80",ROUNDUP(($Q$9/3*G11)*1.07,0),ROUNDUP(($Q$9/3*H11)*1.07,0))))</f>
        <v>0</v>
      </c>
      <c r="R11" s="9">
        <f>IF($R$7="120",ROUNDUP(($R$9/3*I11)*1.07,0),IF($R$7="160",ROUNDUP(($R$9/3*J11)*1.07,0),IF($R$7="180",ROUNDUP(($R$9/3*K11)*1.07,0),ROUNDUP(($R$9/3*L11)*1.07,0))))</f>
        <v>0</v>
      </c>
      <c r="S11" s="9">
        <f>ROUNDUP(($S$9/3*M11)*1.05,0)</f>
        <v>0</v>
      </c>
      <c r="T11" s="9">
        <f t="shared" ref="T11:T17" si="0">IF($T$7="400",ROUNDUP(($T$9/3*N11)*1.05,0),ROUNDUP(($T$9/3*O11)*1.05,0))</f>
        <v>0</v>
      </c>
      <c r="U11" s="51">
        <f t="shared" ref="U11:U17" si="1">ROUNDUP(($U$9/3*P11)*1.05,0)</f>
        <v>0</v>
      </c>
      <c r="V11" s="13">
        <f>ROUNDUP(COUNTIFS('Fiber design'!G:G,'Original checklist'!$V$8,'Fiber design'!F:F,"T")*1.07,0)</f>
        <v>0</v>
      </c>
      <c r="W11" s="13">
        <f>ROUNDUP(COUNTIFS('Fiber design'!G:G,'Original checklist'!$W$8,'Fiber design'!F:F,"T")*1.07,0)</f>
        <v>0</v>
      </c>
      <c r="X11" s="13">
        <f>ROUNDUP(COUNTIFS('Fiber design'!G:G,'Original checklist'!$X$8,'Fiber design'!F:F,"T")*1.07,0)</f>
        <v>0</v>
      </c>
      <c r="Y11" s="13">
        <f>ROUNDUP(COUNTIFS('Fiber design'!G:G,'Original checklist'!$Y$8,'Fiber design'!F:F,"T")*1.07,0)</f>
        <v>0</v>
      </c>
      <c r="Z11" s="13">
        <f>ROUNDUP(COUNTIFS('Fiber design'!G:G,'Original checklist'!$Z$8,'Fiber design'!F:F,"T")*1.07,0)*2</f>
        <v>0</v>
      </c>
    </row>
    <row r="12" spans="2:26" ht="31.5" customHeight="1" x14ac:dyDescent="0.25">
      <c r="B12" s="5">
        <v>3</v>
      </c>
      <c r="C12" s="5" t="s">
        <v>60</v>
      </c>
      <c r="D12" s="6" t="s">
        <v>61</v>
      </c>
      <c r="E12" s="10">
        <v>109</v>
      </c>
      <c r="F12" s="50">
        <f>ROUNDUP((F10+F11)*1.05,0)</f>
        <v>55</v>
      </c>
      <c r="G12" s="50">
        <v>55</v>
      </c>
      <c r="H12" s="9">
        <v>47</v>
      </c>
      <c r="I12" s="10">
        <f>ROUNDUP((I10*1+I11*2)*1.05,0)</f>
        <v>35</v>
      </c>
      <c r="J12" s="50">
        <f>ROUNDUP((J10*1+J11*2)*1.05,0)</f>
        <v>30</v>
      </c>
      <c r="K12" s="50">
        <f>ROUNDUP((K10*1+K11*2)*1.05,0)</f>
        <v>28</v>
      </c>
      <c r="L12" s="9">
        <f>ROUNDUP((L10*1+L11*2)*1.05,0)</f>
        <v>26</v>
      </c>
      <c r="M12" s="13">
        <v>0</v>
      </c>
      <c r="N12" s="10">
        <v>0</v>
      </c>
      <c r="O12" s="9">
        <v>0</v>
      </c>
      <c r="P12" s="13">
        <v>0</v>
      </c>
      <c r="Q12" s="9">
        <f>IF($Q$7="30",ROUNDUP(($Q$9/3*E12)*1.05,0),IF($Q$7="60",ROUNDUP(($Q$9/3*F12)*1.05,0),IF($Q$7="80",ROUNDUP(($Q$9/3*G12)*1.05,0),ROUNDUP(($Q$9/3*H12)*1.05,0))))</f>
        <v>0</v>
      </c>
      <c r="R12" s="9">
        <f>IF($R$7="120",ROUNDUP(($R$9/3*I12)*1.05,0),IF($R$7="160",ROUNDUP(($R$9/3*J12)*1.05,0),IF($R$7="180",ROUNDUP(($R$9/3*K12)*1.05,0),ROUNDUP(($R$9/3*L12)*1.05,0))))</f>
        <v>0</v>
      </c>
      <c r="S12" s="9">
        <f>ROUNDUP(($S$9/3*M12)*1.05,0)</f>
        <v>0</v>
      </c>
      <c r="T12" s="9">
        <f t="shared" si="0"/>
        <v>0</v>
      </c>
      <c r="U12" s="51">
        <f t="shared" si="1"/>
        <v>0</v>
      </c>
      <c r="V12" s="13">
        <f>ROUNDUP((2*V11+V10)*1.05,0)</f>
        <v>0</v>
      </c>
      <c r="W12" s="13">
        <f>ROUNDUP((2*W11+W10)*1.05,0)</f>
        <v>0</v>
      </c>
      <c r="X12" s="36">
        <v>0</v>
      </c>
      <c r="Y12" s="36">
        <v>0</v>
      </c>
      <c r="Z12" s="36">
        <v>0</v>
      </c>
    </row>
    <row r="13" spans="2:26" x14ac:dyDescent="0.25">
      <c r="B13" s="5">
        <v>4</v>
      </c>
      <c r="C13" s="5" t="s">
        <v>62</v>
      </c>
      <c r="D13" s="6" t="s">
        <v>61</v>
      </c>
      <c r="E13" s="10">
        <v>0</v>
      </c>
      <c r="F13" s="50">
        <v>0</v>
      </c>
      <c r="G13" s="50">
        <v>0</v>
      </c>
      <c r="H13" s="9">
        <v>0</v>
      </c>
      <c r="I13" s="51">
        <v>0</v>
      </c>
      <c r="J13" s="50">
        <v>0</v>
      </c>
      <c r="K13" s="50">
        <v>0</v>
      </c>
      <c r="L13" s="52">
        <v>0</v>
      </c>
      <c r="M13" s="13">
        <v>12</v>
      </c>
      <c r="N13" s="10">
        <v>10</v>
      </c>
      <c r="O13" s="9">
        <v>8</v>
      </c>
      <c r="P13" s="13">
        <v>8</v>
      </c>
      <c r="Q13" s="9">
        <f>IF($Q$7="30",ROUNDUP(($Q$9/3*E13)*1.07,0),IF($Q$7="60",ROUNDUP(($Q$9/3*F13)*1.07,0),IF($Q$7="80",ROUNDUP(($Q$9/3*G13)*1.07,0),ROUNDUP(($Q$9/3*H13)*1.07,0))))</f>
        <v>0</v>
      </c>
      <c r="R13" s="9">
        <f>IF($R$7="120",ROUNDUP(($R$9/3*I13)*1.07,0),IF($R$7="160",ROUNDUP(($R$9/3*J13)*1.07,0),IF($R$7="180",ROUNDUP(($R$9/3*K13)*1.07,0),ROUNDUP(($R$9/3*L13)*1.07,0))))</f>
        <v>0</v>
      </c>
      <c r="S13" s="9">
        <f>ROUNDUP(($S$9/3*M13)*1.05,0)</f>
        <v>0</v>
      </c>
      <c r="T13" s="9">
        <f t="shared" si="0"/>
        <v>0</v>
      </c>
      <c r="U13" s="51">
        <f t="shared" si="1"/>
        <v>0</v>
      </c>
      <c r="V13" s="36">
        <v>0</v>
      </c>
      <c r="W13" s="36">
        <v>0</v>
      </c>
      <c r="X13" s="13">
        <f>ROUNDUP(X11*1.05,0)</f>
        <v>0</v>
      </c>
      <c r="Y13" s="13">
        <f>ROUNDUP(Y11*1.05,0)</f>
        <v>0</v>
      </c>
      <c r="Z13" s="13">
        <f>ROUNDUP(Z11*1.05,0)</f>
        <v>0</v>
      </c>
    </row>
    <row r="14" spans="2:26" x14ac:dyDescent="0.25">
      <c r="B14" s="5">
        <v>5</v>
      </c>
      <c r="C14" s="5" t="s">
        <v>63</v>
      </c>
      <c r="D14" s="6" t="s">
        <v>61</v>
      </c>
      <c r="E14" s="10">
        <v>0</v>
      </c>
      <c r="F14" s="50">
        <v>0</v>
      </c>
      <c r="G14" s="50">
        <v>0</v>
      </c>
      <c r="H14" s="9">
        <v>0</v>
      </c>
      <c r="I14" s="51">
        <v>0</v>
      </c>
      <c r="J14" s="50">
        <v>0</v>
      </c>
      <c r="K14" s="50">
        <v>0</v>
      </c>
      <c r="L14" s="52">
        <v>0</v>
      </c>
      <c r="M14" s="13">
        <v>0</v>
      </c>
      <c r="N14" s="10">
        <v>20</v>
      </c>
      <c r="O14" s="9">
        <v>14</v>
      </c>
      <c r="P14" s="13">
        <v>14</v>
      </c>
      <c r="Q14" s="9">
        <f>IF($Q$7="30",ROUNDUP(($Q$9/3*E14)*1.07,0),IF($Q$7="60",ROUNDUP(($Q$9/3*F14)*1.07,0),IF($Q$7="80",ROUNDUP(($Q$9/3*G14)*1.07,0),ROUNDUP(($Q$9/3*H14)*1.07,0))))</f>
        <v>0</v>
      </c>
      <c r="R14" s="9">
        <f>IF($R$7="120",ROUNDUP(($R$9/3*I14)*1.07,0),IF($R$7="160",ROUNDUP(($R$9/3*J14)*1.07,0),IF($R$7="180",ROUNDUP(($R$9/3*K14)*1.07,0),ROUNDUP(($R$9/3*L14)*1.07,0))))</f>
        <v>0</v>
      </c>
      <c r="S14" s="9">
        <f>ROUNDUP(($S$9/3*M14)*1.07,0)</f>
        <v>0</v>
      </c>
      <c r="T14" s="9">
        <f t="shared" si="0"/>
        <v>0</v>
      </c>
      <c r="U14" s="51">
        <f t="shared" si="1"/>
        <v>0</v>
      </c>
      <c r="V14" s="36">
        <v>0</v>
      </c>
      <c r="W14" s="36">
        <v>0</v>
      </c>
      <c r="X14" s="36">
        <v>0</v>
      </c>
      <c r="Y14" s="13">
        <f>2*Y13</f>
        <v>0</v>
      </c>
      <c r="Z14" s="13">
        <f>2*Z13</f>
        <v>0</v>
      </c>
    </row>
    <row r="15" spans="2:26" x14ac:dyDescent="0.25">
      <c r="B15" s="5">
        <v>6</v>
      </c>
      <c r="C15" s="5" t="s">
        <v>64</v>
      </c>
      <c r="D15" s="6" t="s">
        <v>65</v>
      </c>
      <c r="E15" s="10">
        <v>248</v>
      </c>
      <c r="F15" s="50">
        <f>ROUNDUP((F10+F11)*2.4,0)</f>
        <v>125</v>
      </c>
      <c r="G15" s="50">
        <v>96</v>
      </c>
      <c r="H15" s="9">
        <v>77</v>
      </c>
      <c r="I15" s="10">
        <v>63</v>
      </c>
      <c r="J15" s="50">
        <v>51</v>
      </c>
      <c r="K15" s="50">
        <v>46</v>
      </c>
      <c r="L15" s="9">
        <v>41</v>
      </c>
      <c r="M15" s="13">
        <v>0</v>
      </c>
      <c r="N15" s="10">
        <v>0</v>
      </c>
      <c r="O15" s="9">
        <v>0</v>
      </c>
      <c r="P15" s="13">
        <v>0</v>
      </c>
      <c r="Q15" s="9">
        <f>IF($Q$7="30",ROUNDUP(($Q$9/3*E15),0),IF($Q$7="60",ROUNDUP(($Q$9/3*F15),0),IF($Q$7="80",ROUNDUP(($Q$9/3*G15),0),ROUNDUP(($Q$9/3*H15),0))))</f>
        <v>0</v>
      </c>
      <c r="R15" s="9">
        <f>IF($R$7="120",ROUNDUP(($R$9/3*I15),0),IF($R$7="160",ROUNDUP(($R$9/3*J15),0),IF($R$7="180",ROUNDUP(($R$9/3*K15),0),ROUNDUP(($R$9/3*L15),0))))</f>
        <v>0</v>
      </c>
      <c r="S15" s="9">
        <f>ROUNDUP(($S$9/3*M15)*1.07,0)</f>
        <v>0</v>
      </c>
      <c r="T15" s="9">
        <f t="shared" si="0"/>
        <v>0</v>
      </c>
      <c r="U15" s="51">
        <f t="shared" si="1"/>
        <v>0</v>
      </c>
      <c r="V15" s="104" t="str">
        <f>CONCATENATE(ROUNDUP(ROUNDUP(Q4*Controls!C13,0)/1.4,0)," kits")</f>
        <v>0 kits</v>
      </c>
      <c r="W15" s="104" t="str">
        <f>CONCATENATE(ROUNDUP(ROUNDUP(Controls!C13*R4,0)/1.4,0)," kits")</f>
        <v>0 kits</v>
      </c>
      <c r="X15" s="36">
        <v>0</v>
      </c>
      <c r="Y15" s="36">
        <v>0</v>
      </c>
      <c r="Z15" s="36">
        <v>0</v>
      </c>
    </row>
    <row r="16" spans="2:26" x14ac:dyDescent="0.25">
      <c r="B16" s="5">
        <v>5</v>
      </c>
      <c r="C16" s="5" t="s">
        <v>66</v>
      </c>
      <c r="D16" s="6" t="s">
        <v>61</v>
      </c>
      <c r="E16" s="10">
        <v>217</v>
      </c>
      <c r="F16" s="50">
        <f>ROUNDUP((F10+F11)*2*1.05,0)</f>
        <v>110</v>
      </c>
      <c r="G16" s="50">
        <v>84</v>
      </c>
      <c r="H16" s="9">
        <v>68</v>
      </c>
      <c r="I16" s="10">
        <v>55</v>
      </c>
      <c r="J16" s="50">
        <v>45</v>
      </c>
      <c r="K16" s="50">
        <v>40</v>
      </c>
      <c r="L16" s="9">
        <v>36</v>
      </c>
      <c r="M16" s="13">
        <v>0</v>
      </c>
      <c r="N16" s="10">
        <v>0</v>
      </c>
      <c r="O16" s="9">
        <v>0</v>
      </c>
      <c r="P16" s="13">
        <v>0</v>
      </c>
      <c r="Q16" s="9">
        <f>IF($Q$7="30",ROUNDUP(($Q$9/3*E16)*1.05,0),IF($Q$7="60",ROUNDUP(($Q$9/3*F16)*1.05,0),IF($Q$7="80",ROUNDUP(($Q$9/3*G16)*1.05,0),ROUNDUP(($Q$9/3*H16)*1.05,0))))</f>
        <v>0</v>
      </c>
      <c r="R16" s="9">
        <f>IF($R$7="120",ROUNDUP(($R$9/3*I16)*1.05,0),IF($R$7="160",ROUNDUP(($R$9/3*J16)*1.05,0),IF($R$7="180",ROUNDUP(($R$9/3*K16)*1.05,0),ROUNDUP(($R$9/3*L16)*1.05,0))))</f>
        <v>0</v>
      </c>
      <c r="S16" s="9">
        <f>ROUNDUP(($S$9/3*M16)*1.07,0)</f>
        <v>0</v>
      </c>
      <c r="T16" s="9">
        <f t="shared" si="0"/>
        <v>0</v>
      </c>
      <c r="U16" s="51">
        <f t="shared" si="1"/>
        <v>0</v>
      </c>
      <c r="V16" s="105"/>
      <c r="W16" s="105"/>
      <c r="X16" s="36">
        <v>0</v>
      </c>
      <c r="Y16" s="36">
        <v>0</v>
      </c>
      <c r="Z16" s="36">
        <v>0</v>
      </c>
    </row>
    <row r="17" spans="2:26" ht="15.75" thickBot="1" x14ac:dyDescent="0.3">
      <c r="B17" s="5">
        <v>6</v>
      </c>
      <c r="C17" s="5" t="s">
        <v>67</v>
      </c>
      <c r="D17" s="6" t="s">
        <v>61</v>
      </c>
      <c r="E17" s="10">
        <v>109</v>
      </c>
      <c r="F17" s="50">
        <f>ROUNDUP((F10+F11)*1.05,0)</f>
        <v>55</v>
      </c>
      <c r="G17" s="50">
        <v>42</v>
      </c>
      <c r="H17" s="9">
        <v>34</v>
      </c>
      <c r="I17" s="10">
        <v>28</v>
      </c>
      <c r="J17" s="50">
        <v>23</v>
      </c>
      <c r="K17" s="50">
        <v>20</v>
      </c>
      <c r="L17" s="9">
        <v>18</v>
      </c>
      <c r="M17" s="13">
        <v>0</v>
      </c>
      <c r="N17" s="10">
        <v>0</v>
      </c>
      <c r="O17" s="9">
        <v>0</v>
      </c>
      <c r="P17" s="13">
        <v>0</v>
      </c>
      <c r="Q17" s="9">
        <f>IF($Q$7="30",ROUNDUP(($Q$9/3*E17)*1.05,0),IF($Q$7="60",ROUNDUP(($Q$9/3*F17)*1.05,0),IF($Q$7="80",ROUNDUP(($Q$9/3*G17)*1.05,0),ROUNDUP(($Q$9/3*H17)*1.05,0))))</f>
        <v>0</v>
      </c>
      <c r="R17" s="9">
        <f>IF($R$7="120",ROUNDUP(($R$9/3*I17)*1.05,0),IF($R$7="160",ROUNDUP(($R$9/3*J17)*1.05,0),IF($R$7="180",ROUNDUP(($R$9/3*K17)*1.05,0),ROUNDUP(($R$9/3*L17)*1.05,0))))</f>
        <v>0</v>
      </c>
      <c r="S17" s="17">
        <f>ROUNDUP(($S$9/3*M17)*1.07,0)</f>
        <v>0</v>
      </c>
      <c r="T17" s="9">
        <f t="shared" si="0"/>
        <v>0</v>
      </c>
      <c r="U17" s="28">
        <f t="shared" si="1"/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</row>
    <row r="18" spans="2:26" ht="47.25" customHeight="1" x14ac:dyDescent="0.25">
      <c r="B18" s="5">
        <v>7</v>
      </c>
      <c r="C18" s="5" t="s">
        <v>68</v>
      </c>
      <c r="D18" s="6" t="s">
        <v>61</v>
      </c>
      <c r="E18" s="91" t="s">
        <v>69</v>
      </c>
      <c r="F18" s="92"/>
      <c r="G18" s="92"/>
      <c r="H18" s="93"/>
      <c r="I18" s="91" t="s">
        <v>69</v>
      </c>
      <c r="J18" s="92"/>
      <c r="K18" s="92"/>
      <c r="L18" s="93"/>
      <c r="M18" s="91" t="s">
        <v>69</v>
      </c>
      <c r="N18" s="92"/>
      <c r="O18" s="92"/>
      <c r="P18" s="93"/>
      <c r="Q18" s="98">
        <f>V18</f>
        <v>1</v>
      </c>
      <c r="R18" s="99"/>
      <c r="S18" s="99"/>
      <c r="T18" s="99"/>
      <c r="U18" s="100"/>
      <c r="V18" s="106">
        <f>COUNTIF('Fiber design'!H:H,"Mx")</f>
        <v>1</v>
      </c>
      <c r="W18" s="107"/>
      <c r="X18" s="107"/>
      <c r="Y18" s="107"/>
      <c r="Z18" s="108"/>
    </row>
    <row r="19" spans="2:26" ht="45.75" customHeight="1" thickBot="1" x14ac:dyDescent="0.3">
      <c r="B19" s="5">
        <v>8</v>
      </c>
      <c r="C19" s="5" t="s">
        <v>70</v>
      </c>
      <c r="D19" s="6" t="s">
        <v>61</v>
      </c>
      <c r="E19" s="94" t="s">
        <v>71</v>
      </c>
      <c r="F19" s="95"/>
      <c r="G19" s="95"/>
      <c r="H19" s="96"/>
      <c r="I19" s="94" t="s">
        <v>71</v>
      </c>
      <c r="J19" s="95"/>
      <c r="K19" s="95"/>
      <c r="L19" s="96"/>
      <c r="M19" s="94" t="s">
        <v>71</v>
      </c>
      <c r="N19" s="95"/>
      <c r="O19" s="95"/>
      <c r="P19" s="96"/>
      <c r="Q19" s="94">
        <f>Q18</f>
        <v>1</v>
      </c>
      <c r="R19" s="95"/>
      <c r="S19" s="95"/>
      <c r="T19" s="95"/>
      <c r="U19" s="96"/>
      <c r="V19" s="109">
        <f>V18</f>
        <v>1</v>
      </c>
      <c r="W19" s="110"/>
      <c r="X19" s="110"/>
      <c r="Y19" s="110"/>
      <c r="Z19" s="111"/>
    </row>
    <row r="20" spans="2:26" ht="36.75" customHeight="1" x14ac:dyDescent="0.25">
      <c r="B20" s="5">
        <v>9</v>
      </c>
      <c r="C20" s="5" t="s">
        <v>72</v>
      </c>
      <c r="D20" s="50" t="s">
        <v>61</v>
      </c>
      <c r="E20" s="89" t="s">
        <v>73</v>
      </c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101">
        <f>IF(C4=FALSE,2,1)</f>
        <v>2</v>
      </c>
      <c r="R20" s="101"/>
      <c r="S20" s="101"/>
      <c r="T20" s="101"/>
      <c r="U20" s="102"/>
      <c r="V20" s="101">
        <f>Q20</f>
        <v>2</v>
      </c>
      <c r="W20" s="101"/>
      <c r="X20" s="101"/>
      <c r="Y20" s="101"/>
      <c r="Z20" s="101"/>
    </row>
    <row r="21" spans="2:26" x14ac:dyDescent="0.25">
      <c r="B21" s="5">
        <v>10</v>
      </c>
      <c r="C21" s="5" t="s">
        <v>74</v>
      </c>
      <c r="D21" s="50" t="s">
        <v>61</v>
      </c>
      <c r="E21" s="90">
        <v>4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7">
        <v>4</v>
      </c>
      <c r="R21" s="97"/>
      <c r="S21" s="97"/>
      <c r="T21" s="97"/>
      <c r="U21" s="103"/>
      <c r="V21" s="97">
        <v>4</v>
      </c>
      <c r="W21" s="97"/>
      <c r="X21" s="97"/>
      <c r="Y21" s="97"/>
      <c r="Z21" s="97"/>
    </row>
  </sheetData>
  <mergeCells count="21">
    <mergeCell ref="V15:V16"/>
    <mergeCell ref="W15:W16"/>
    <mergeCell ref="V18:Z18"/>
    <mergeCell ref="V19:Z19"/>
    <mergeCell ref="V20:Z20"/>
    <mergeCell ref="V21:Z21"/>
    <mergeCell ref="Q18:U18"/>
    <mergeCell ref="Q19:U19"/>
    <mergeCell ref="Q20:U20"/>
    <mergeCell ref="Q21:U21"/>
    <mergeCell ref="Q2:U2"/>
    <mergeCell ref="B8:D8"/>
    <mergeCell ref="B9:D9"/>
    <mergeCell ref="E20:P20"/>
    <mergeCell ref="E21:P21"/>
    <mergeCell ref="E18:H18"/>
    <mergeCell ref="E19:H19"/>
    <mergeCell ref="I18:L18"/>
    <mergeCell ref="I19:L19"/>
    <mergeCell ref="M18:P18"/>
    <mergeCell ref="M19:P19"/>
  </mergeCells>
  <pageMargins left="0.7" right="0.7" top="0.75" bottom="0.75" header="0.3" footer="0.3"/>
  <ignoredErrors>
    <ignoredError sqref="S11 S13 Q12:R1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B2:AF4"/>
  <sheetViews>
    <sheetView topLeftCell="O1" workbookViewId="0">
      <selection activeCell="V4" sqref="V4"/>
    </sheetView>
  </sheetViews>
  <sheetFormatPr baseColWidth="10" defaultColWidth="11" defaultRowHeight="15" x14ac:dyDescent="0.25"/>
  <cols>
    <col min="7" max="7" width="12" bestFit="1" customWidth="1"/>
  </cols>
  <sheetData>
    <row r="2" spans="2:32" ht="28.5" customHeight="1" x14ac:dyDescent="0.25">
      <c r="B2" s="112" t="s">
        <v>153</v>
      </c>
      <c r="C2" s="112" t="s">
        <v>154</v>
      </c>
      <c r="D2" s="112" t="s">
        <v>155</v>
      </c>
      <c r="E2" s="112" t="s">
        <v>156</v>
      </c>
      <c r="F2" s="112" t="s">
        <v>157</v>
      </c>
      <c r="G2" s="112" t="s">
        <v>158</v>
      </c>
      <c r="H2" s="112" t="s">
        <v>159</v>
      </c>
      <c r="I2" s="74" t="s">
        <v>160</v>
      </c>
      <c r="J2" s="74" t="s">
        <v>160</v>
      </c>
      <c r="K2" s="74" t="s">
        <v>160</v>
      </c>
      <c r="L2" s="74" t="s">
        <v>160</v>
      </c>
      <c r="M2" s="74" t="s">
        <v>160</v>
      </c>
      <c r="N2" s="112" t="s">
        <v>124</v>
      </c>
      <c r="O2" s="112" t="s">
        <v>161</v>
      </c>
      <c r="P2" s="112" t="s">
        <v>162</v>
      </c>
      <c r="Q2" s="112" t="s">
        <v>163</v>
      </c>
      <c r="R2" s="112" t="s">
        <v>70</v>
      </c>
      <c r="S2" s="112" t="s">
        <v>164</v>
      </c>
      <c r="T2" s="112" t="s">
        <v>165</v>
      </c>
      <c r="U2" s="117" t="s">
        <v>166</v>
      </c>
      <c r="V2" s="117" t="s">
        <v>167</v>
      </c>
      <c r="W2" s="117" t="s">
        <v>62</v>
      </c>
      <c r="X2" s="119" t="s">
        <v>168</v>
      </c>
      <c r="Y2" s="119" t="s">
        <v>169</v>
      </c>
      <c r="Z2" s="119" t="s">
        <v>170</v>
      </c>
      <c r="AA2" s="119" t="s">
        <v>171</v>
      </c>
      <c r="AB2" s="119" t="s">
        <v>172</v>
      </c>
      <c r="AC2" s="75" t="s">
        <v>173</v>
      </c>
      <c r="AD2" s="75" t="s">
        <v>173</v>
      </c>
      <c r="AE2" s="115" t="s">
        <v>174</v>
      </c>
      <c r="AF2" s="115" t="s">
        <v>9</v>
      </c>
    </row>
    <row r="3" spans="2:32" x14ac:dyDescent="0.25">
      <c r="B3" s="113"/>
      <c r="C3" s="113"/>
      <c r="D3" s="113"/>
      <c r="E3" s="113"/>
      <c r="F3" s="113"/>
      <c r="G3" s="114"/>
      <c r="H3" s="113"/>
      <c r="I3" s="76" t="s">
        <v>175</v>
      </c>
      <c r="J3" s="76" t="s">
        <v>176</v>
      </c>
      <c r="K3" s="76" t="s">
        <v>177</v>
      </c>
      <c r="L3" s="76" t="s">
        <v>178</v>
      </c>
      <c r="M3" s="76" t="s">
        <v>179</v>
      </c>
      <c r="N3" s="113"/>
      <c r="O3" s="113"/>
      <c r="P3" s="113"/>
      <c r="Q3" s="113"/>
      <c r="R3" s="113"/>
      <c r="S3" s="113"/>
      <c r="T3" s="113"/>
      <c r="U3" s="118"/>
      <c r="V3" s="118"/>
      <c r="W3" s="118"/>
      <c r="X3" s="120"/>
      <c r="Y3" s="120"/>
      <c r="Z3" s="120"/>
      <c r="AA3" s="120"/>
      <c r="AB3" s="120"/>
      <c r="AC3" s="77" t="s">
        <v>180</v>
      </c>
      <c r="AD3" s="77" t="s">
        <v>181</v>
      </c>
      <c r="AE3" s="116"/>
      <c r="AF3" s="116"/>
    </row>
    <row r="4" spans="2:32" x14ac:dyDescent="0.25">
      <c r="B4" s="63">
        <f>1.07*'List review congestion2025'!T3</f>
        <v>0</v>
      </c>
      <c r="C4" s="63">
        <f>1.07*'List review congestion2025'!U3</f>
        <v>0</v>
      </c>
      <c r="D4" s="63" t="s">
        <v>182</v>
      </c>
      <c r="E4" s="63" t="s">
        <v>182</v>
      </c>
      <c r="F4" s="63">
        <f>1.07*'List review congestion2025'!S3</f>
        <v>0</v>
      </c>
      <c r="G4" s="63"/>
      <c r="H4" s="63">
        <f>ROUNDUP('List review congestion2025'!AD3*1.07,0)</f>
        <v>0</v>
      </c>
      <c r="I4" s="63">
        <f>ROUNDUP('Fiber design'!Q14*1.07,0)</f>
        <v>0</v>
      </c>
      <c r="J4" s="63">
        <f>ROUNDUP('List review congestion2025'!Y3*1.07,0)</f>
        <v>0</v>
      </c>
      <c r="K4" s="63">
        <f>ROUNDUP('List review congestion2025'!Z3*1.07,0)</f>
        <v>0</v>
      </c>
      <c r="L4" s="63">
        <f>ROUNDUP('List review congestion2025'!AA3*1.07,0)</f>
        <v>0</v>
      </c>
      <c r="M4" s="63">
        <f>ROUNDUP('List review congestion2025'!AB3*1.07,0)</f>
        <v>0</v>
      </c>
      <c r="N4" s="63">
        <f>ROUNDUP('List review congestion2025'!AF3*1.07,0)</f>
        <v>0</v>
      </c>
      <c r="O4" s="4" t="str">
        <f>'List review congestion2025'!AE3</f>
        <v>-</v>
      </c>
      <c r="P4" s="63">
        <f>'List review congestion2025'!AI3*1.4</f>
        <v>0</v>
      </c>
      <c r="Q4" s="63">
        <f>N4*2</f>
        <v>0</v>
      </c>
      <c r="R4" s="4">
        <f>'List review congestion2025'!AK3</f>
        <v>0</v>
      </c>
      <c r="S4" s="4" t="s">
        <v>143</v>
      </c>
      <c r="T4" s="4" t="s">
        <v>143</v>
      </c>
      <c r="U4" s="63">
        <f>'List review congestion2025'!AL3</f>
        <v>0</v>
      </c>
      <c r="V4" s="4" t="s">
        <v>184</v>
      </c>
      <c r="W4" s="63">
        <f>'List review congestion2025'!AH3</f>
        <v>0</v>
      </c>
      <c r="X4" s="4">
        <f>'List review congestion2025'!AJ3</f>
        <v>0</v>
      </c>
      <c r="Y4" s="4">
        <v>0</v>
      </c>
      <c r="Z4" s="4">
        <v>0</v>
      </c>
      <c r="AA4" s="4">
        <v>0</v>
      </c>
      <c r="AB4" s="4">
        <v>4</v>
      </c>
    </row>
  </sheetData>
  <mergeCells count="24">
    <mergeCell ref="AF2:AF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E2:AE3"/>
    <mergeCell ref="R2:R3"/>
    <mergeCell ref="B2:B3"/>
    <mergeCell ref="C2:C3"/>
    <mergeCell ref="D2:D3"/>
    <mergeCell ref="E2:E3"/>
    <mergeCell ref="F2:F3"/>
    <mergeCell ref="G2:G3"/>
    <mergeCell ref="H2:H3"/>
    <mergeCell ref="N2:N3"/>
    <mergeCell ref="O2:O3"/>
    <mergeCell ref="P2:P3"/>
    <mergeCell ref="Q2:Q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2"/>
  <dimension ref="B2:T17"/>
  <sheetViews>
    <sheetView showGridLines="0" zoomScale="85" zoomScaleNormal="85" workbookViewId="0">
      <selection activeCell="H8" sqref="H8"/>
    </sheetView>
  </sheetViews>
  <sheetFormatPr baseColWidth="10" defaultColWidth="11.5703125" defaultRowHeight="15" x14ac:dyDescent="0.25"/>
  <cols>
    <col min="1" max="1" width="2.85546875" customWidth="1"/>
    <col min="3" max="3" width="20.7109375" customWidth="1"/>
    <col min="5" max="9" width="11.5703125" customWidth="1"/>
    <col min="14" max="14" width="11.5703125" customWidth="1"/>
    <col min="15" max="19" width="13.140625" customWidth="1"/>
    <col min="20" max="20" width="30.7109375" customWidth="1"/>
  </cols>
  <sheetData>
    <row r="2" spans="2:20" ht="21" x14ac:dyDescent="0.35">
      <c r="J2" s="124" t="str">
        <f>'Fiber design'!A1</f>
        <v>NOMBRE RUTA</v>
      </c>
      <c r="K2" s="124"/>
      <c r="L2" s="124"/>
      <c r="M2" s="124"/>
      <c r="N2" s="124"/>
      <c r="O2" s="124"/>
      <c r="P2" s="124"/>
      <c r="Q2" s="124"/>
      <c r="R2" s="124"/>
      <c r="S2" s="124"/>
      <c r="T2" s="124"/>
    </row>
    <row r="3" spans="2:20" ht="18.75" x14ac:dyDescent="0.3">
      <c r="J3" s="123" t="s">
        <v>38</v>
      </c>
      <c r="K3" s="123"/>
      <c r="L3" s="123"/>
      <c r="M3" s="123"/>
      <c r="N3" s="123"/>
      <c r="O3" s="123" t="s">
        <v>75</v>
      </c>
      <c r="P3" s="123"/>
      <c r="Q3" s="123"/>
      <c r="R3" s="123"/>
      <c r="S3" s="123"/>
      <c r="T3" s="122" t="s">
        <v>9</v>
      </c>
    </row>
    <row r="4" spans="2:20" ht="31.5" x14ac:dyDescent="0.25">
      <c r="B4" s="86" t="s">
        <v>43</v>
      </c>
      <c r="C4" s="86"/>
      <c r="D4" s="86"/>
      <c r="E4" s="49" t="str">
        <f>IF('Original checklist'!Q7="30","KV 100 30m",IF('Original checklist'!Q7="60","KV 100 60m",IF('Original checklist'!Q7="80","KV 100 80m","KV 100 100m")))</f>
        <v>KV 100 100m</v>
      </c>
      <c r="F4" s="49" t="str">
        <f>IF('Original checklist'!R7="120","KV 200 120m",IF('Original checklist'!Q7="160","KV 200 160m",IF('Original checklist'!Q7="180","KV 200 180m","KV 200 200m")))</f>
        <v>KV 200 200m</v>
      </c>
      <c r="G4" s="49" t="s">
        <v>52</v>
      </c>
      <c r="H4" s="49" t="str">
        <f>IF('Original checklist'!$T$7="400","KV500 400m","KV500 500m")</f>
        <v>KV500 500m</v>
      </c>
      <c r="I4" s="49" t="s">
        <v>55</v>
      </c>
      <c r="J4" s="49" t="str">
        <f>E4</f>
        <v>KV 100 100m</v>
      </c>
      <c r="K4" s="49" t="str">
        <f>F4</f>
        <v>KV 200 200m</v>
      </c>
      <c r="L4" s="49" t="str">
        <f>G4</f>
        <v>KV300
300m</v>
      </c>
      <c r="M4" s="49" t="str">
        <f>H4</f>
        <v>KV500 500m</v>
      </c>
      <c r="N4" s="49" t="str">
        <f>I4</f>
        <v>KV1000
500m</v>
      </c>
      <c r="O4" s="49" t="s">
        <v>18</v>
      </c>
      <c r="P4" s="49" t="s">
        <v>10</v>
      </c>
      <c r="Q4" s="49" t="s">
        <v>19</v>
      </c>
      <c r="R4" s="49" t="s">
        <v>20</v>
      </c>
      <c r="S4" s="49" t="s">
        <v>21</v>
      </c>
      <c r="T4" s="122"/>
    </row>
    <row r="5" spans="2:20" ht="15.75" x14ac:dyDescent="0.25">
      <c r="B5" s="121" t="s">
        <v>56</v>
      </c>
      <c r="C5" s="121"/>
      <c r="D5" s="121"/>
      <c r="E5" s="53" t="s">
        <v>57</v>
      </c>
      <c r="F5" s="53" t="s">
        <v>57</v>
      </c>
      <c r="G5" s="53" t="s">
        <v>57</v>
      </c>
      <c r="H5" s="53" t="s">
        <v>57</v>
      </c>
      <c r="I5" s="53" t="s">
        <v>57</v>
      </c>
      <c r="J5" s="46">
        <f>'Original checklist'!Q9</f>
        <v>0</v>
      </c>
      <c r="K5" s="46">
        <f>'Original checklist'!R9</f>
        <v>0</v>
      </c>
      <c r="L5" s="46">
        <f>'Original checklist'!S9</f>
        <v>0</v>
      </c>
      <c r="M5" s="46">
        <f>'Original checklist'!T9</f>
        <v>0</v>
      </c>
      <c r="N5" s="46">
        <f>'Original checklist'!U9</f>
        <v>0</v>
      </c>
      <c r="O5" s="46">
        <f>ROUNDUP(((SUMIFS('Fiber design'!$E:$E,'Fiber design'!$G:$G,'Material calculator'!O$4)+COUNTIFS('Fiber design'!$H:$H,"Mx",'Fiber design'!$G:$G,O4)*150)/1000),1)</f>
        <v>0</v>
      </c>
      <c r="P5" s="46">
        <f>ROUNDUP(((SUMIFS('Fiber design'!$E:$E,'Fiber design'!$G:$G,'Material calculator'!P$4)+COUNTIFS('Fiber design'!$H:$H,"Mx",'Fiber design'!$G:$G,P4)*150)/1000),1)</f>
        <v>0</v>
      </c>
      <c r="Q5" s="46">
        <f>ROUNDUP(((SUMIFS('Fiber design'!$E:$E,'Fiber design'!$G:$G,'Material calculator'!Q$4)+COUNTIFS('Fiber design'!$H:$H,"Mx",'Fiber design'!$G:$G,Q4)*150)/1000),1)</f>
        <v>0</v>
      </c>
      <c r="R5" s="46">
        <f>ROUNDUP(((SUMIFS('Fiber design'!$E:$E,'Fiber design'!$G:$G,'Material calculator'!R$4)+COUNTIFS('Fiber design'!$H:$H,"Mx",'Fiber design'!$G:$G,R4)*150)/1000),1)</f>
        <v>0</v>
      </c>
      <c r="S5" s="46">
        <f>ROUNDUP(((SUMIFS('Fiber design'!$E:$E,'Fiber design'!$G:$G,'Material calculator'!S$4)+COUNTIFS('Fiber design'!$H:$H,"Mx",'Fiber design'!$G:$G,S4)*150)/1000),1)</f>
        <v>0</v>
      </c>
      <c r="T5" s="4"/>
    </row>
    <row r="6" spans="2:20" x14ac:dyDescent="0.25">
      <c r="B6" s="5">
        <v>1</v>
      </c>
      <c r="C6" s="5" t="s">
        <v>17</v>
      </c>
      <c r="D6" s="5" t="s">
        <v>58</v>
      </c>
      <c r="E6" s="50">
        <f>IF('Original checklist'!$Q$7="30",'Original checklist'!E10,IF('Original checklist'!$Q$7="60",'Original checklist'!F10,IF('Original checklist'!$Q$7="80",'Original checklist'!G10,'Original checklist'!H10)))</f>
        <v>20</v>
      </c>
      <c r="F6" s="50">
        <f>IF('Original checklist'!$R$7="120",'Original checklist'!I10,IF('Original checklist'!$R$7="160",'Original checklist'!J10,IF('Original checklist'!$R$7="180",'Original checklist'!K10,'Original checklist'!L10)))</f>
        <v>10</v>
      </c>
      <c r="G6" s="50">
        <v>0</v>
      </c>
      <c r="H6" s="50">
        <f>IF('Original checklist'!$T$7="400",'Original checklist'!N10,'Original checklist'!O10)</f>
        <v>0</v>
      </c>
      <c r="I6" s="50">
        <v>0</v>
      </c>
      <c r="J6" s="50">
        <f>'Original checklist'!Q10</f>
        <v>0</v>
      </c>
      <c r="K6" s="50">
        <f>'Original checklist'!R10</f>
        <v>0</v>
      </c>
      <c r="L6" s="50">
        <f>'Original checklist'!S10</f>
        <v>0</v>
      </c>
      <c r="M6" s="50">
        <f>'Original checklist'!T10</f>
        <v>0</v>
      </c>
      <c r="N6" s="50">
        <f>'Original checklist'!U10</f>
        <v>0</v>
      </c>
      <c r="O6" s="50">
        <f>'Original checklist'!V10</f>
        <v>0</v>
      </c>
      <c r="P6" s="50">
        <f>'Original checklist'!W10</f>
        <v>0</v>
      </c>
      <c r="Q6" s="50">
        <f>'Original checklist'!X10</f>
        <v>0</v>
      </c>
      <c r="R6" s="50">
        <f>'Original checklist'!Y10</f>
        <v>0</v>
      </c>
      <c r="S6" s="50">
        <f>'Original checklist'!Z10</f>
        <v>0</v>
      </c>
      <c r="T6" s="4"/>
    </row>
    <row r="7" spans="2:20" ht="39.75" customHeight="1" x14ac:dyDescent="0.25">
      <c r="B7" s="5">
        <v>2</v>
      </c>
      <c r="C7" s="5" t="s">
        <v>59</v>
      </c>
      <c r="D7" s="50" t="s">
        <v>58</v>
      </c>
      <c r="E7" s="50">
        <f>IF('Original checklist'!$Q$7="30",'Original checklist'!E11,IF('Original checklist'!$Q$7="60",'Original checklist'!F11,IF('Original checklist'!$Q$7="80",'Original checklist'!G11,'Original checklist'!H11)))</f>
        <v>12</v>
      </c>
      <c r="F7" s="50">
        <f>IF('Original checklist'!$R$7="120",'Original checklist'!I11,IF('Original checklist'!$R$7="160",'Original checklist'!J11,IF('Original checklist'!$R$7="180",'Original checklist'!K11,'Original checklist'!L11)))</f>
        <v>7</v>
      </c>
      <c r="G7" s="50">
        <v>12</v>
      </c>
      <c r="H7" s="50">
        <f>IF('Original checklist'!$T$7="400",'Original checklist'!N11,'Original checklist'!O11)</f>
        <v>8</v>
      </c>
      <c r="I7" s="50">
        <v>8</v>
      </c>
      <c r="J7" s="50">
        <f>'Original checklist'!Q11</f>
        <v>0</v>
      </c>
      <c r="K7" s="50">
        <f>'Original checklist'!R11</f>
        <v>0</v>
      </c>
      <c r="L7" s="50">
        <f>'Original checklist'!S11</f>
        <v>0</v>
      </c>
      <c r="M7" s="50">
        <f>'Original checklist'!T11</f>
        <v>0</v>
      </c>
      <c r="N7" s="50">
        <f>'Original checklist'!U11</f>
        <v>0</v>
      </c>
      <c r="O7" s="50">
        <f>'Original checklist'!V11</f>
        <v>0</v>
      </c>
      <c r="P7" s="50">
        <f>'Original checklist'!W11</f>
        <v>0</v>
      </c>
      <c r="Q7" s="50">
        <f>'Original checklist'!X11</f>
        <v>0</v>
      </c>
      <c r="R7" s="50">
        <f>'Original checklist'!Y11</f>
        <v>0</v>
      </c>
      <c r="S7" s="50">
        <f>'Original checklist'!Z11</f>
        <v>0</v>
      </c>
      <c r="T7" s="4"/>
    </row>
    <row r="8" spans="2:20" ht="39.75" customHeight="1" x14ac:dyDescent="0.25">
      <c r="B8" s="5">
        <v>3</v>
      </c>
      <c r="C8" s="5" t="s">
        <v>60</v>
      </c>
      <c r="D8" s="50" t="s">
        <v>61</v>
      </c>
      <c r="E8" s="50">
        <f>IF('Original checklist'!$Q$7="30",'Original checklist'!E12,IF('Original checklist'!$Q$7="60",'Original checklist'!F12,IF('Original checklist'!$Q$7="80",'Original checklist'!G12,'Original checklist'!H12)))</f>
        <v>47</v>
      </c>
      <c r="F8" s="50">
        <f>IF('Original checklist'!$R$7="120",'Original checklist'!I12,IF('Original checklist'!$R$7="160",'Original checklist'!J12,IF('Original checklist'!$R$7="180",'Original checklist'!K12,'Original checklist'!L12)))</f>
        <v>26</v>
      </c>
      <c r="G8" s="50">
        <v>0</v>
      </c>
      <c r="H8" s="50">
        <f>IF('Original checklist'!$T$7="400",'Original checklist'!N12,'Original checklist'!O12)</f>
        <v>0</v>
      </c>
      <c r="I8" s="50">
        <v>0</v>
      </c>
      <c r="J8" s="50">
        <f>'Original checklist'!Q12</f>
        <v>0</v>
      </c>
      <c r="K8" s="50">
        <f>'Original checklist'!R12</f>
        <v>0</v>
      </c>
      <c r="L8" s="50">
        <f>'Original checklist'!S12</f>
        <v>0</v>
      </c>
      <c r="M8" s="50">
        <f>'Original checklist'!T12</f>
        <v>0</v>
      </c>
      <c r="N8" s="50">
        <f>'Original checklist'!U12</f>
        <v>0</v>
      </c>
      <c r="O8" s="50">
        <f>'Original checklist'!V12</f>
        <v>0</v>
      </c>
      <c r="P8" s="50">
        <f>'Original checklist'!W12</f>
        <v>0</v>
      </c>
      <c r="Q8" s="50">
        <f>'Original checklist'!X12</f>
        <v>0</v>
      </c>
      <c r="R8" s="50">
        <f>'Original checklist'!Y12</f>
        <v>0</v>
      </c>
      <c r="S8" s="50">
        <f>'Original checklist'!Z12</f>
        <v>0</v>
      </c>
      <c r="T8" s="4"/>
    </row>
    <row r="9" spans="2:20" x14ac:dyDescent="0.25">
      <c r="B9" s="5">
        <v>4</v>
      </c>
      <c r="C9" s="5" t="s">
        <v>62</v>
      </c>
      <c r="D9" s="50" t="s">
        <v>61</v>
      </c>
      <c r="E9" s="50">
        <f>IF('Original checklist'!$Q$7="30",'Original checklist'!E13,IF('Original checklist'!$Q$7="60",'Original checklist'!F13,IF('Original checklist'!$Q$7="80",'Original checklist'!G13,'Original checklist'!H13)))</f>
        <v>0</v>
      </c>
      <c r="F9" s="50">
        <f>IF('Original checklist'!$R$7="120",'Original checklist'!I13,IF('Original checklist'!$R$7="160",'Original checklist'!J13,IF('Original checklist'!$R$7="180",'Original checklist'!K13,'Original checklist'!L13)))</f>
        <v>0</v>
      </c>
      <c r="G9" s="50">
        <v>12</v>
      </c>
      <c r="H9" s="50">
        <f>IF('Original checklist'!$T$7="400",'Original checklist'!N13,'Original checklist'!O13)</f>
        <v>8</v>
      </c>
      <c r="I9" s="50">
        <v>8</v>
      </c>
      <c r="J9" s="50">
        <f>'Original checklist'!Q13</f>
        <v>0</v>
      </c>
      <c r="K9" s="50">
        <f>'Original checklist'!R13</f>
        <v>0</v>
      </c>
      <c r="L9" s="50">
        <f>'Original checklist'!S13</f>
        <v>0</v>
      </c>
      <c r="M9" s="50">
        <f>'Original checklist'!T13</f>
        <v>0</v>
      </c>
      <c r="N9" s="50">
        <f>'Original checklist'!U13</f>
        <v>0</v>
      </c>
      <c r="O9" s="50">
        <f>'Original checklist'!V13</f>
        <v>0</v>
      </c>
      <c r="P9" s="50">
        <f>'Original checklist'!W13</f>
        <v>0</v>
      </c>
      <c r="Q9" s="50">
        <f>'Original checklist'!X13</f>
        <v>0</v>
      </c>
      <c r="R9" s="50">
        <f>'Original checklist'!Y13</f>
        <v>0</v>
      </c>
      <c r="S9" s="50">
        <f>'Original checklist'!Z13</f>
        <v>0</v>
      </c>
      <c r="T9" s="4"/>
    </row>
    <row r="10" spans="2:20" x14ac:dyDescent="0.25">
      <c r="B10" s="5">
        <v>5</v>
      </c>
      <c r="C10" s="5" t="s">
        <v>63</v>
      </c>
      <c r="D10" s="50" t="s">
        <v>61</v>
      </c>
      <c r="E10" s="50">
        <f>IF('Original checklist'!$Q$7="30",'Original checklist'!E14,IF('Original checklist'!$Q$7="60",'Original checklist'!F14,IF('Original checklist'!$Q$7="80",'Original checklist'!G14,'Original checklist'!H14)))</f>
        <v>0</v>
      </c>
      <c r="F10" s="50">
        <f>IF('Original checklist'!$R$7="120",'Original checklist'!I14,IF('Original checklist'!$R$7="160",'Original checklist'!J14,IF('Original checklist'!$R$7="180",'Original checklist'!K14,'Original checklist'!L14)))</f>
        <v>0</v>
      </c>
      <c r="G10" s="50">
        <v>0</v>
      </c>
      <c r="H10" s="50">
        <f>IF('Original checklist'!$T$7="400",'Original checklist'!N14,'Original checklist'!O14)</f>
        <v>14</v>
      </c>
      <c r="I10" s="50">
        <v>14</v>
      </c>
      <c r="J10" s="50">
        <f>'Original checklist'!Q14</f>
        <v>0</v>
      </c>
      <c r="K10" s="50">
        <f>'Original checklist'!R14</f>
        <v>0</v>
      </c>
      <c r="L10" s="50">
        <f>'Original checklist'!S14</f>
        <v>0</v>
      </c>
      <c r="M10" s="50">
        <f>'Original checklist'!T14</f>
        <v>0</v>
      </c>
      <c r="N10" s="50">
        <f>'Original checklist'!U14</f>
        <v>0</v>
      </c>
      <c r="O10" s="50">
        <f>'Original checklist'!V14</f>
        <v>0</v>
      </c>
      <c r="P10" s="50">
        <f>'Original checklist'!W14</f>
        <v>0</v>
      </c>
      <c r="Q10" s="50">
        <f>'Original checklist'!X14</f>
        <v>0</v>
      </c>
      <c r="R10" s="50">
        <f>'Original checklist'!Y14</f>
        <v>0</v>
      </c>
      <c r="S10" s="50">
        <f>'Original checklist'!Z14</f>
        <v>0</v>
      </c>
      <c r="T10" s="4"/>
    </row>
    <row r="11" spans="2:20" x14ac:dyDescent="0.25">
      <c r="B11" s="5">
        <v>6</v>
      </c>
      <c r="C11" s="5" t="s">
        <v>64</v>
      </c>
      <c r="D11" s="50" t="s">
        <v>65</v>
      </c>
      <c r="E11" s="50">
        <f>IF('Original checklist'!$Q$7="30",'Original checklist'!E15,IF('Original checklist'!$Q$7="60",'Original checklist'!F15,IF('Original checklist'!$Q$7="80",'Original checklist'!G15,'Original checklist'!H15)))</f>
        <v>77</v>
      </c>
      <c r="F11" s="50">
        <f>IF('Original checklist'!$R$7="120",'Original checklist'!I15,IF('Original checklist'!$R$7="160",'Original checklist'!J15,IF('Original checklist'!$R$7="180",'Original checklist'!K15,'Original checklist'!L15)))</f>
        <v>41</v>
      </c>
      <c r="G11" s="50">
        <v>0</v>
      </c>
      <c r="H11" s="50">
        <f>IF('Original checklist'!$T$7="400",'Original checklist'!N15,'Original checklist'!O15)</f>
        <v>0</v>
      </c>
      <c r="I11" s="50">
        <v>0</v>
      </c>
      <c r="J11" s="50">
        <f>'Original checklist'!Q15</f>
        <v>0</v>
      </c>
      <c r="K11" s="50">
        <f>'Original checklist'!R15</f>
        <v>0</v>
      </c>
      <c r="L11" s="50">
        <f>'Original checklist'!S15</f>
        <v>0</v>
      </c>
      <c r="M11" s="50">
        <f>'Original checklist'!T15</f>
        <v>0</v>
      </c>
      <c r="N11" s="50">
        <f>'Original checklist'!U15</f>
        <v>0</v>
      </c>
      <c r="O11" s="126">
        <f>ROUNDUP(ROUNDUP('Original checklist'!Q4*2.4,0)/1.4,0)+O14</f>
        <v>1</v>
      </c>
      <c r="P11" s="126">
        <f>ROUNDUP(ROUNDUP('Original checklist'!R4*Controls!C13,0)/1.4,0)+1*O14</f>
        <v>1</v>
      </c>
      <c r="Q11" s="50">
        <f>'Original checklist'!X15</f>
        <v>0</v>
      </c>
      <c r="R11" s="50">
        <f>'Original checklist'!Y15</f>
        <v>0</v>
      </c>
      <c r="S11" s="50">
        <f>'Original checklist'!Z15</f>
        <v>0</v>
      </c>
      <c r="T11" s="4"/>
    </row>
    <row r="12" spans="2:20" x14ac:dyDescent="0.25">
      <c r="B12" s="5">
        <v>5</v>
      </c>
      <c r="C12" s="5" t="s">
        <v>66</v>
      </c>
      <c r="D12" s="50" t="s">
        <v>61</v>
      </c>
      <c r="E12" s="50">
        <f>IF('Original checklist'!$Q$7="30",'Original checklist'!E16,IF('Original checklist'!$Q$7="60",'Original checklist'!F16,IF('Original checklist'!$Q$7="80",'Original checklist'!G16,'Original checklist'!H16)))</f>
        <v>68</v>
      </c>
      <c r="F12" s="50">
        <f>IF('Original checklist'!$R$7="120",'Original checklist'!I16,IF('Original checklist'!$R$7="160",'Original checklist'!J16,IF('Original checklist'!$R$7="180",'Original checklist'!K16,'Original checklist'!L16)))</f>
        <v>36</v>
      </c>
      <c r="G12" s="50">
        <v>0</v>
      </c>
      <c r="H12" s="50">
        <f>IF('Original checklist'!$T$7="400",'Original checklist'!N16,'Original checklist'!O16)</f>
        <v>0</v>
      </c>
      <c r="I12" s="50">
        <v>0</v>
      </c>
      <c r="J12" s="50">
        <f>'Original checklist'!Q16</f>
        <v>0</v>
      </c>
      <c r="K12" s="50">
        <f>'Original checklist'!R16</f>
        <v>0</v>
      </c>
      <c r="L12" s="50">
        <f>'Original checklist'!S16</f>
        <v>0</v>
      </c>
      <c r="M12" s="50">
        <f>'Original checklist'!T16</f>
        <v>0</v>
      </c>
      <c r="N12" s="50">
        <f>'Original checklist'!U16</f>
        <v>0</v>
      </c>
      <c r="O12" s="126"/>
      <c r="P12" s="126"/>
      <c r="Q12" s="50">
        <f>'Original checklist'!X16</f>
        <v>0</v>
      </c>
      <c r="R12" s="50">
        <f>'Original checklist'!Y16</f>
        <v>0</v>
      </c>
      <c r="S12" s="50">
        <f>'Original checklist'!Z16</f>
        <v>0</v>
      </c>
      <c r="T12" s="4"/>
    </row>
    <row r="13" spans="2:20" x14ac:dyDescent="0.25">
      <c r="B13" s="5">
        <v>6</v>
      </c>
      <c r="C13" s="5" t="s">
        <v>67</v>
      </c>
      <c r="D13" s="50" t="s">
        <v>61</v>
      </c>
      <c r="E13" s="50">
        <f>IF('Original checklist'!$Q$7="30",'Original checklist'!E17,IF('Original checklist'!$Q$7="60",'Original checklist'!F17,IF('Original checklist'!$Q$7="80",'Original checklist'!G17,'Original checklist'!H17)))</f>
        <v>34</v>
      </c>
      <c r="F13" s="50">
        <f>IF('Original checklist'!$R$7="120",'Original checklist'!I17,IF('Original checklist'!$R$7="160",'Original checklist'!J17,IF('Original checklist'!$R$7="180",'Original checklist'!K17,'Original checklist'!L17)))</f>
        <v>18</v>
      </c>
      <c r="G13" s="50">
        <v>0</v>
      </c>
      <c r="H13" s="50">
        <f>IF('Original checklist'!$T$7="400",'Original checklist'!N17,'Original checklist'!O17)</f>
        <v>0</v>
      </c>
      <c r="I13" s="50">
        <v>0</v>
      </c>
      <c r="J13" s="50">
        <f>'Original checklist'!Q17</f>
        <v>0</v>
      </c>
      <c r="K13" s="50">
        <f>'Original checklist'!R17</f>
        <v>0</v>
      </c>
      <c r="L13" s="50">
        <f>'Original checklist'!S17</f>
        <v>0</v>
      </c>
      <c r="M13" s="50">
        <f>'Original checklist'!T17</f>
        <v>0</v>
      </c>
      <c r="N13" s="50">
        <f>'Original checklist'!U17</f>
        <v>0</v>
      </c>
      <c r="O13" s="50">
        <f>'Original checklist'!V17</f>
        <v>0</v>
      </c>
      <c r="P13" s="50">
        <f>'Original checklist'!W17</f>
        <v>0</v>
      </c>
      <c r="Q13" s="50">
        <f>'Original checklist'!X17</f>
        <v>0</v>
      </c>
      <c r="R13" s="50">
        <f>'Original checklist'!Y17</f>
        <v>0</v>
      </c>
      <c r="S13" s="50">
        <f>'Original checklist'!Z17</f>
        <v>0</v>
      </c>
      <c r="T13" s="4"/>
    </row>
    <row r="14" spans="2:20" ht="51.75" customHeight="1" x14ac:dyDescent="0.25">
      <c r="B14" s="5">
        <v>7</v>
      </c>
      <c r="C14" s="5" t="s">
        <v>68</v>
      </c>
      <c r="D14" s="50" t="s">
        <v>61</v>
      </c>
      <c r="E14" s="50" t="s">
        <v>69</v>
      </c>
      <c r="F14" s="50" t="s">
        <v>69</v>
      </c>
      <c r="G14" s="50" t="s">
        <v>69</v>
      </c>
      <c r="H14" s="50" t="s">
        <v>69</v>
      </c>
      <c r="I14" s="50" t="s">
        <v>69</v>
      </c>
      <c r="J14" s="125">
        <f>O14</f>
        <v>1</v>
      </c>
      <c r="K14" s="125"/>
      <c r="L14" s="125"/>
      <c r="M14" s="125"/>
      <c r="N14" s="125"/>
      <c r="O14" s="127">
        <f>COUNTIF('Fiber design'!H:H,"Mx")</f>
        <v>1</v>
      </c>
      <c r="P14" s="128"/>
      <c r="Q14" s="128"/>
      <c r="R14" s="128"/>
      <c r="S14" s="129"/>
      <c r="T14" s="4"/>
    </row>
    <row r="15" spans="2:20" ht="48.75" customHeight="1" x14ac:dyDescent="0.25">
      <c r="B15" s="5">
        <v>8</v>
      </c>
      <c r="C15" s="5" t="s">
        <v>70</v>
      </c>
      <c r="D15" s="50" t="s">
        <v>61</v>
      </c>
      <c r="E15" s="50" t="s">
        <v>71</v>
      </c>
      <c r="F15" s="50" t="s">
        <v>71</v>
      </c>
      <c r="G15" s="50" t="s">
        <v>71</v>
      </c>
      <c r="H15" s="50" t="s">
        <v>71</v>
      </c>
      <c r="I15" s="50" t="s">
        <v>71</v>
      </c>
      <c r="J15" s="125">
        <f>O15</f>
        <v>3</v>
      </c>
      <c r="K15" s="125"/>
      <c r="L15" s="125"/>
      <c r="M15" s="125"/>
      <c r="N15" s="125"/>
      <c r="O15" s="125">
        <f>O14+2</f>
        <v>3</v>
      </c>
      <c r="P15" s="125"/>
      <c r="Q15" s="125"/>
      <c r="R15" s="125"/>
      <c r="S15" s="125"/>
      <c r="T15" s="4"/>
    </row>
    <row r="16" spans="2:20" ht="30" customHeight="1" x14ac:dyDescent="0.25">
      <c r="B16" s="5">
        <v>9</v>
      </c>
      <c r="C16" s="5" t="s">
        <v>72</v>
      </c>
      <c r="D16" s="50" t="s">
        <v>61</v>
      </c>
      <c r="E16" s="90" t="s">
        <v>73</v>
      </c>
      <c r="F16" s="90"/>
      <c r="G16" s="90"/>
      <c r="H16" s="90"/>
      <c r="I16" s="90"/>
      <c r="J16" s="125">
        <f>IF('Original checklist'!C4=FALSE,2,1)</f>
        <v>2</v>
      </c>
      <c r="K16" s="125"/>
      <c r="L16" s="125"/>
      <c r="M16" s="125"/>
      <c r="N16" s="125"/>
      <c r="O16" s="125" t="str">
        <f>IF('Fiber design'!A1="NOMBRE RUTA","ERROR",J16)</f>
        <v>ERROR</v>
      </c>
      <c r="P16" s="125"/>
      <c r="Q16" s="125"/>
      <c r="R16" s="125"/>
      <c r="S16" s="125"/>
      <c r="T16" s="4"/>
    </row>
    <row r="17" spans="2:20" x14ac:dyDescent="0.25">
      <c r="B17" s="5">
        <v>10</v>
      </c>
      <c r="C17" s="5" t="s">
        <v>74</v>
      </c>
      <c r="D17" s="50" t="s">
        <v>61</v>
      </c>
      <c r="E17" s="90">
        <v>4</v>
      </c>
      <c r="F17" s="90"/>
      <c r="G17" s="90"/>
      <c r="H17" s="90"/>
      <c r="I17" s="90"/>
      <c r="J17" s="125">
        <v>4</v>
      </c>
      <c r="K17" s="125"/>
      <c r="L17" s="125"/>
      <c r="M17" s="125"/>
      <c r="N17" s="125"/>
      <c r="O17" s="125">
        <v>4</v>
      </c>
      <c r="P17" s="125"/>
      <c r="Q17" s="125"/>
      <c r="R17" s="125"/>
      <c r="S17" s="125"/>
      <c r="T17" s="4"/>
    </row>
  </sheetData>
  <mergeCells count="18">
    <mergeCell ref="J2:T2"/>
    <mergeCell ref="E16:I16"/>
    <mergeCell ref="E17:I17"/>
    <mergeCell ref="J14:N14"/>
    <mergeCell ref="J15:N15"/>
    <mergeCell ref="O15:S15"/>
    <mergeCell ref="J16:N16"/>
    <mergeCell ref="J17:N17"/>
    <mergeCell ref="O17:S17"/>
    <mergeCell ref="O16:S16"/>
    <mergeCell ref="O11:O12"/>
    <mergeCell ref="P11:P12"/>
    <mergeCell ref="O14:S14"/>
    <mergeCell ref="B4:D4"/>
    <mergeCell ref="B5:D5"/>
    <mergeCell ref="T3:T4"/>
    <mergeCell ref="J3:N3"/>
    <mergeCell ref="O3:S3"/>
  </mergeCells>
  <conditionalFormatting sqref="O16:S16">
    <cfRule type="cellIs" dxfId="0" priority="1" operator="equal">
      <formula>"ERROR"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B2:E19"/>
  <sheetViews>
    <sheetView showGridLines="0" zoomScale="160" zoomScaleNormal="160" workbookViewId="0">
      <selection activeCell="C15" sqref="C15"/>
    </sheetView>
  </sheetViews>
  <sheetFormatPr baseColWidth="10" defaultColWidth="9.140625" defaultRowHeight="15" x14ac:dyDescent="0.25"/>
  <cols>
    <col min="2" max="2" width="35.7109375" bestFit="1" customWidth="1"/>
    <col min="3" max="3" width="15" style="1" customWidth="1"/>
    <col min="4" max="4" width="13.28515625" style="1" customWidth="1"/>
  </cols>
  <sheetData>
    <row r="2" spans="2:5" x14ac:dyDescent="0.25">
      <c r="B2" s="130" t="s">
        <v>76</v>
      </c>
      <c r="C2" s="130"/>
      <c r="D2" s="54" t="s">
        <v>77</v>
      </c>
    </row>
    <row r="3" spans="2:5" x14ac:dyDescent="0.25">
      <c r="B3" s="34" t="s">
        <v>78</v>
      </c>
      <c r="C3" s="48">
        <v>105</v>
      </c>
      <c r="D3" s="42">
        <v>90</v>
      </c>
      <c r="E3" t="s">
        <v>79</v>
      </c>
    </row>
    <row r="4" spans="2:5" x14ac:dyDescent="0.25">
      <c r="B4" s="34" t="s">
        <v>80</v>
      </c>
      <c r="C4" s="48">
        <v>220</v>
      </c>
      <c r="D4" s="42">
        <v>190</v>
      </c>
    </row>
    <row r="5" spans="2:5" x14ac:dyDescent="0.25">
      <c r="B5" s="34" t="s">
        <v>81</v>
      </c>
      <c r="C5" s="48">
        <v>330</v>
      </c>
      <c r="D5" s="42">
        <v>330</v>
      </c>
    </row>
    <row r="6" spans="2:5" x14ac:dyDescent="0.25">
      <c r="B6" s="34" t="s">
        <v>82</v>
      </c>
      <c r="C6" s="48">
        <v>550</v>
      </c>
      <c r="D6" s="42">
        <v>550</v>
      </c>
    </row>
    <row r="7" spans="2:5" x14ac:dyDescent="0.25">
      <c r="B7" s="34" t="s">
        <v>83</v>
      </c>
      <c r="C7" s="48">
        <v>1310</v>
      </c>
      <c r="D7" s="42">
        <v>1090</v>
      </c>
    </row>
    <row r="8" spans="2:5" x14ac:dyDescent="0.25">
      <c r="B8" s="43"/>
      <c r="C8" s="44"/>
      <c r="D8" s="45"/>
    </row>
    <row r="9" spans="2:5" x14ac:dyDescent="0.25">
      <c r="B9" s="34" t="s">
        <v>84</v>
      </c>
      <c r="C9" s="48">
        <v>165</v>
      </c>
      <c r="D9" s="42">
        <v>150</v>
      </c>
    </row>
    <row r="10" spans="2:5" x14ac:dyDescent="0.25">
      <c r="B10" s="34" t="s">
        <v>85</v>
      </c>
      <c r="C10" s="48">
        <v>120</v>
      </c>
      <c r="D10" s="42">
        <v>250</v>
      </c>
    </row>
    <row r="11" spans="2:5" x14ac:dyDescent="0.25">
      <c r="B11" s="34" t="s">
        <v>86</v>
      </c>
      <c r="C11" s="48">
        <v>220</v>
      </c>
      <c r="D11" s="42">
        <v>430</v>
      </c>
    </row>
    <row r="12" spans="2:5" x14ac:dyDescent="0.25">
      <c r="B12" s="43"/>
      <c r="C12" s="44"/>
      <c r="D12" s="45"/>
    </row>
    <row r="13" spans="2:5" x14ac:dyDescent="0.25">
      <c r="B13" s="34" t="s">
        <v>87</v>
      </c>
      <c r="C13" s="48">
        <v>2</v>
      </c>
      <c r="D13" s="42">
        <v>2.4</v>
      </c>
      <c r="E13" t="s">
        <v>88</v>
      </c>
    </row>
    <row r="14" spans="2:5" x14ac:dyDescent="0.25">
      <c r="B14" s="43"/>
      <c r="C14" s="44"/>
      <c r="D14" s="45"/>
    </row>
    <row r="15" spans="2:5" x14ac:dyDescent="0.25">
      <c r="B15" s="34" t="s">
        <v>89</v>
      </c>
      <c r="C15" s="48">
        <v>800</v>
      </c>
      <c r="D15" s="42">
        <v>1500</v>
      </c>
    </row>
    <row r="16" spans="2:5" x14ac:dyDescent="0.25">
      <c r="B16" s="34" t="s">
        <v>90</v>
      </c>
      <c r="C16" s="48">
        <v>2</v>
      </c>
      <c r="D16" s="42">
        <v>2</v>
      </c>
    </row>
    <row r="19" spans="2:2" x14ac:dyDescent="0.25">
      <c r="B19" t="s">
        <v>91</v>
      </c>
    </row>
  </sheetData>
  <sheetProtection algorithmName="SHA-512" hashValue="Z7TuwzJlca2C2kNsA0CjJ1S9p5WJ3dbpD0+hMkuzulpvsl7/8cylQBi7iTNSoOodSQ+b49/MErU/ros0OLAvJA==" saltValue="67m/3XlkanWzjO6FHQoHeQ==" spinCount="100000" sheet="1" objects="1" scenarios="1"/>
  <protectedRanges>
    <protectedRange sqref="C3:C16" name="Controles"/>
  </protectedRanges>
  <mergeCells count="1">
    <mergeCell ref="B2:C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B2:B4"/>
  <sheetViews>
    <sheetView zoomScale="175" zoomScaleNormal="175" workbookViewId="0">
      <selection activeCell="B5" sqref="B5"/>
    </sheetView>
  </sheetViews>
  <sheetFormatPr baseColWidth="10" defaultColWidth="9.140625" defaultRowHeight="15" x14ac:dyDescent="0.25"/>
  <sheetData>
    <row r="2" spans="2:2" x14ac:dyDescent="0.25">
      <c r="B2" t="s">
        <v>92</v>
      </c>
    </row>
    <row r="3" spans="2:2" x14ac:dyDescent="0.25">
      <c r="B3" t="s">
        <v>93</v>
      </c>
    </row>
    <row r="4" spans="2:2" x14ac:dyDescent="0.25">
      <c r="B4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Fiber design</vt:lpstr>
      <vt:lpstr>List review congestion2025</vt:lpstr>
      <vt:lpstr>Original checklist</vt:lpstr>
      <vt:lpstr>FORMAT INFRA</vt:lpstr>
      <vt:lpstr>Material calculator</vt:lpstr>
      <vt:lpstr>Controls</vt:lpstr>
      <vt:lpstr>COMMENTS</vt:lpstr>
      <vt:lpstr>'Fiber design'!Área_de_impresión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Alvaro André Martínez Gómez</dc:creator>
  <cp:keywords/>
  <dc:description/>
  <cp:lastModifiedBy>Anthony Muchaypiña</cp:lastModifiedBy>
  <cp:revision/>
  <dcterms:created xsi:type="dcterms:W3CDTF">2025-06-11T13:32:51Z</dcterms:created>
  <dcterms:modified xsi:type="dcterms:W3CDTF">2026-02-17T00:16:49Z</dcterms:modified>
  <cp:category/>
  <cp:contentStatus/>
</cp:coreProperties>
</file>